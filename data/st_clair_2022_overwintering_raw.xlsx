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le\Documents\Manuscripts\OW 2020 Plos One 12.16.21\OW 2020 Stats\"/>
    </mc:Choice>
  </mc:AlternateContent>
  <xr:revisionPtr revIDLastSave="0" documentId="13_ncr:1_{C5D4D69D-533C-43F5-82B0-04DF29CC721B}" xr6:coauthVersionLast="47" xr6:coauthVersionMax="47" xr10:uidLastSave="{00000000-0000-0000-0000-000000000000}"/>
  <bookViews>
    <workbookView xWindow="-108" yWindow="-108" windowWidth="23256" windowHeight="12456" activeTab="3" xr2:uid="{1B61A4A9-990E-4B0A-AE86-21243156F425}"/>
  </bookViews>
  <sheets>
    <sheet name="Overwinterng Data" sheetId="5" r:id="rId1"/>
    <sheet name="Pre-Overwintering Mites" sheetId="6" r:id="rId2"/>
    <sheet name="Colony Temperatures" sheetId="7" r:id="rId3"/>
    <sheet name="Tipping scale Side Experiment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27" i="5" l="1"/>
  <c r="M428" i="5"/>
  <c r="M430" i="5"/>
  <c r="M429" i="5"/>
  <c r="M425" i="5"/>
  <c r="M423" i="5"/>
  <c r="M424" i="5"/>
  <c r="M421" i="5"/>
  <c r="M420" i="5"/>
  <c r="M415" i="5"/>
  <c r="M412" i="5"/>
  <c r="M417" i="5"/>
  <c r="M419" i="5"/>
  <c r="M413" i="5"/>
  <c r="M414" i="5"/>
  <c r="M418" i="5"/>
  <c r="M406" i="5"/>
  <c r="M405" i="5"/>
  <c r="M407" i="5"/>
  <c r="M403" i="5"/>
  <c r="M404" i="5"/>
  <c r="M395" i="5"/>
  <c r="M398" i="5"/>
  <c r="M394" i="5"/>
  <c r="M396" i="5"/>
  <c r="M399" i="5"/>
  <c r="M397" i="5"/>
  <c r="M400" i="5"/>
  <c r="M390" i="5"/>
  <c r="M389" i="5"/>
  <c r="M392" i="5"/>
  <c r="M391" i="5"/>
  <c r="M388" i="5"/>
  <c r="M387" i="5"/>
  <c r="M386" i="5"/>
  <c r="M385" i="5"/>
  <c r="M384" i="5"/>
  <c r="M382" i="5"/>
  <c r="M381" i="5"/>
  <c r="M380" i="5"/>
  <c r="M379" i="5"/>
  <c r="M378" i="5"/>
  <c r="M377" i="5"/>
  <c r="M376" i="5"/>
  <c r="M375" i="5"/>
  <c r="M374" i="5"/>
  <c r="M372" i="5"/>
  <c r="M371" i="5"/>
  <c r="M370" i="5"/>
  <c r="M369" i="5"/>
  <c r="M368" i="5"/>
  <c r="M366" i="5"/>
  <c r="M363" i="5"/>
  <c r="M362" i="5"/>
  <c r="M361" i="5"/>
  <c r="M360" i="5"/>
  <c r="M357" i="5"/>
  <c r="M356" i="5"/>
  <c r="M355" i="5"/>
  <c r="M354" i="5"/>
  <c r="M353" i="5"/>
  <c r="M352" i="5"/>
  <c r="M351" i="5"/>
  <c r="M349" i="5"/>
  <c r="M348" i="5"/>
  <c r="M347" i="5"/>
  <c r="M346" i="5"/>
  <c r="I44" i="5"/>
  <c r="F9" i="5"/>
</calcChain>
</file>

<file path=xl/sharedStrings.xml><?xml version="1.0" encoding="utf-8"?>
<sst xmlns="http://schemas.openxmlformats.org/spreadsheetml/2006/main" count="8522" uniqueCount="131">
  <si>
    <t>Yard</t>
  </si>
  <si>
    <t>Colony ID</t>
  </si>
  <si>
    <t>Treatment</t>
  </si>
  <si>
    <t>R69</t>
  </si>
  <si>
    <t>Unwrapped</t>
  </si>
  <si>
    <t>Wrapped</t>
  </si>
  <si>
    <t>UM Green Box</t>
  </si>
  <si>
    <t>B14</t>
  </si>
  <si>
    <t>B15</t>
  </si>
  <si>
    <t>B16</t>
  </si>
  <si>
    <t>.</t>
  </si>
  <si>
    <t>B74</t>
  </si>
  <si>
    <t>G37</t>
  </si>
  <si>
    <t>B38</t>
  </si>
  <si>
    <t>B35</t>
  </si>
  <si>
    <t>G35</t>
  </si>
  <si>
    <t>B37</t>
  </si>
  <si>
    <t>B17</t>
  </si>
  <si>
    <t>B28</t>
  </si>
  <si>
    <t>B66</t>
  </si>
  <si>
    <t>B53</t>
  </si>
  <si>
    <t>B10</t>
  </si>
  <si>
    <t>B8</t>
  </si>
  <si>
    <t>UM Yell. Box</t>
  </si>
  <si>
    <t>B58</t>
  </si>
  <si>
    <t>B69</t>
  </si>
  <si>
    <t>R39</t>
  </si>
  <si>
    <t>G24</t>
  </si>
  <si>
    <t>B68</t>
  </si>
  <si>
    <t>B95</t>
  </si>
  <si>
    <t>B56</t>
  </si>
  <si>
    <t>B55</t>
  </si>
  <si>
    <t>G40</t>
  </si>
  <si>
    <t>B94</t>
  </si>
  <si>
    <t>B93</t>
  </si>
  <si>
    <t>B4</t>
  </si>
  <si>
    <t>B90</t>
  </si>
  <si>
    <t>B46</t>
  </si>
  <si>
    <t>G29</t>
  </si>
  <si>
    <t>B1</t>
  </si>
  <si>
    <t>R37</t>
  </si>
  <si>
    <t>B57</t>
  </si>
  <si>
    <t>R53</t>
  </si>
  <si>
    <t>B49</t>
  </si>
  <si>
    <t>G19</t>
  </si>
  <si>
    <t>G14</t>
  </si>
  <si>
    <t>B45</t>
  </si>
  <si>
    <t>B5</t>
  </si>
  <si>
    <t>B43</t>
  </si>
  <si>
    <t>H</t>
  </si>
  <si>
    <t>HII</t>
  </si>
  <si>
    <t>O</t>
  </si>
  <si>
    <t>P</t>
  </si>
  <si>
    <t>PT</t>
  </si>
  <si>
    <t>PF</t>
  </si>
  <si>
    <t>Q</t>
  </si>
  <si>
    <t>SA</t>
  </si>
  <si>
    <t>y = 0.4779x + 64.421</t>
  </si>
  <si>
    <t>y = 0.2641x + 58.243</t>
  </si>
  <si>
    <t>y = -1.4064x + 55.625</t>
  </si>
  <si>
    <t>y = -1.652x + 65.071</t>
  </si>
  <si>
    <t>y = -2.82x + 62.2</t>
  </si>
  <si>
    <t>y = -2.148x + 74.954</t>
  </si>
  <si>
    <t>y = -1.0802x + 67.552</t>
  </si>
  <si>
    <t>y = -2.3507x + 60.461</t>
  </si>
  <si>
    <t>y = -0.7987x + 55.987</t>
  </si>
  <si>
    <t>y = -0.1266x + 59.032</t>
  </si>
  <si>
    <t>y = -2.0411x + 67.217</t>
  </si>
  <si>
    <t>y = -0.1861x + 62.258</t>
  </si>
  <si>
    <t>y = -1.62x + 53.06</t>
  </si>
  <si>
    <t>y = -0.1143x + 54.61</t>
  </si>
  <si>
    <t>y = -1.093x + 56.167</t>
  </si>
  <si>
    <t>y = -1.3904x + 58.517</t>
  </si>
  <si>
    <t>y = -0.8988x + 67.582</t>
  </si>
  <si>
    <t>y = -0.7137x + 48.548</t>
  </si>
  <si>
    <t>y = -1.0988x + 79.424</t>
  </si>
  <si>
    <t>y = -1.9649x + 68.121</t>
  </si>
  <si>
    <t>y = -1.3703x + 53.145</t>
  </si>
  <si>
    <t>y = 1.0296x + 51.436</t>
  </si>
  <si>
    <t>y = -1.7937x + 75.455</t>
  </si>
  <si>
    <t>y = -1.7148x + 58.369</t>
  </si>
  <si>
    <t>y = -1.3379x + 60.243</t>
  </si>
  <si>
    <t>y = -1.3235x + 50.021</t>
  </si>
  <si>
    <t>y = -0.9702x + 63.42</t>
  </si>
  <si>
    <t>y = -0.84x + 62.84</t>
  </si>
  <si>
    <t>y = -0.8706x + 51.926</t>
  </si>
  <si>
    <t>y = -0.9915x + 53.097</t>
  </si>
  <si>
    <t>y = -1.5896x + 62.427</t>
  </si>
  <si>
    <t>y = -1.1694x + 79.45</t>
  </si>
  <si>
    <t>y = -1.3508x + 76.219</t>
  </si>
  <si>
    <t>y = -0.2907x + 66.998</t>
  </si>
  <si>
    <t>y = -1.9864x + 73.051</t>
  </si>
  <si>
    <t>y = -1.2573x + 60.914</t>
  </si>
  <si>
    <t>y = -1.3524x + 66.719</t>
  </si>
  <si>
    <t>y = -1.413x + 67.43</t>
  </si>
  <si>
    <t>y = -1.2147x + 66.57</t>
  </si>
  <si>
    <t>y = -3.5788x + 82.621</t>
  </si>
  <si>
    <t>y = -2.6946x + 60.786</t>
  </si>
  <si>
    <t>y = -1.228x + 58.224</t>
  </si>
  <si>
    <t>y = -2.6481x + 57.733</t>
  </si>
  <si>
    <t>Linear Equation for growth</t>
  </si>
  <si>
    <t>Rate of growth (Mx)</t>
  </si>
  <si>
    <t>Arboreal cover within 100m radius</t>
  </si>
  <si>
    <t>Colony</t>
  </si>
  <si>
    <t>Proportion mid-winter feed consumed with dead colonies filetered</t>
  </si>
  <si>
    <t>Proportion emergency feed consumed, all ccolonies</t>
  </si>
  <si>
    <t>Date</t>
  </si>
  <si>
    <t>Survival</t>
  </si>
  <si>
    <t>Raw Mass (kg)</t>
  </si>
  <si>
    <t>Percent change in mass over time</t>
  </si>
  <si>
    <t>Frame Sides of Bees</t>
  </si>
  <si>
    <t>y</t>
  </si>
  <si>
    <t>n</t>
  </si>
  <si>
    <t>Queen Sign</t>
  </si>
  <si>
    <t>Tilted left</t>
  </si>
  <si>
    <t>Tilted right</t>
  </si>
  <si>
    <t>Tilted total</t>
  </si>
  <si>
    <t>Classic scale weight</t>
  </si>
  <si>
    <t>Brood area (cm2)</t>
  </si>
  <si>
    <t>UM Green</t>
  </si>
  <si>
    <t>UM Yell</t>
  </si>
  <si>
    <t>October mites</t>
  </si>
  <si>
    <t>November mites</t>
  </si>
  <si>
    <t>Average Temp</t>
  </si>
  <si>
    <t>Calendar Week</t>
  </si>
  <si>
    <t>log25</t>
  </si>
  <si>
    <t>Live</t>
  </si>
  <si>
    <t>H-II</t>
  </si>
  <si>
    <t>Green</t>
  </si>
  <si>
    <t>Sentinal</t>
  </si>
  <si>
    <t>sent-vs-live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</si>
</sst>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/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 readingOrder="1"/>
    </xf>
    <xf numFmtId="9" fontId="0" fillId="0" borderId="0" xfId="1" applyFont="1" applyFill="1" applyAlignment="1">
      <alignment horizontal="center" vertical="center"/>
    </xf>
    <xf numFmtId="0" fontId="0" fillId="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37C7-853C-4A8E-8E58-CEA1A0C93F42}">
  <dimension ref="A1:O431"/>
  <sheetViews>
    <sheetView zoomScale="85" zoomScaleNormal="85" workbookViewId="0">
      <selection activeCell="M1" sqref="M1"/>
    </sheetView>
  </sheetViews>
  <sheetFormatPr defaultRowHeight="14.4" x14ac:dyDescent="0.3"/>
  <cols>
    <col min="1" max="1" width="11.88671875" style="2" bestFit="1" customWidth="1"/>
    <col min="2" max="2" width="13.21875" style="2" bestFit="1" customWidth="1"/>
    <col min="3" max="3" width="10.5546875" style="2" bestFit="1" customWidth="1"/>
    <col min="4" max="4" width="10.77734375" style="2" bestFit="1" customWidth="1"/>
    <col min="5" max="5" width="7.44140625" style="2" bestFit="1" customWidth="1"/>
    <col min="6" max="6" width="8.21875" style="2" customWidth="1"/>
    <col min="7" max="7" width="9.5546875" style="2" bestFit="1" customWidth="1"/>
    <col min="8" max="8" width="16.21875" style="2" bestFit="1" customWidth="1"/>
    <col min="9" max="9" width="10" style="2" customWidth="1"/>
    <col min="10" max="10" width="16.109375" style="2" customWidth="1"/>
    <col min="11" max="11" width="20.44140625" style="2" customWidth="1"/>
    <col min="12" max="12" width="16.77734375" style="2" customWidth="1"/>
    <col min="13" max="13" width="7.77734375" style="2" bestFit="1" customWidth="1"/>
    <col min="14" max="14" width="7.88671875" style="2" customWidth="1"/>
    <col min="15" max="15" width="7.5546875" style="2" customWidth="1"/>
    <col min="16" max="16384" width="8.88671875" style="2"/>
  </cols>
  <sheetData>
    <row r="1" spans="1:15" s="5" customFormat="1" ht="57.6" x14ac:dyDescent="0.3">
      <c r="A1" s="5" t="s">
        <v>0</v>
      </c>
      <c r="B1" s="5" t="s">
        <v>1</v>
      </c>
      <c r="C1" s="5" t="s">
        <v>2</v>
      </c>
      <c r="D1" s="5" t="s">
        <v>106</v>
      </c>
      <c r="E1" s="5" t="s">
        <v>107</v>
      </c>
      <c r="F1" s="5" t="s">
        <v>108</v>
      </c>
      <c r="G1" s="5" t="s">
        <v>109</v>
      </c>
      <c r="H1" s="6" t="s">
        <v>100</v>
      </c>
      <c r="I1" s="6" t="s">
        <v>101</v>
      </c>
      <c r="J1" s="6" t="s">
        <v>102</v>
      </c>
      <c r="K1" s="6" t="s">
        <v>104</v>
      </c>
      <c r="L1" s="6" t="s">
        <v>105</v>
      </c>
      <c r="M1" s="6" t="s">
        <v>110</v>
      </c>
      <c r="N1" s="6" t="s">
        <v>113</v>
      </c>
      <c r="O1" s="5" t="s">
        <v>118</v>
      </c>
    </row>
    <row r="2" spans="1:15" x14ac:dyDescent="0.3">
      <c r="A2" s="2" t="s">
        <v>49</v>
      </c>
      <c r="B2" s="2" t="s">
        <v>3</v>
      </c>
      <c r="C2" s="2" t="s">
        <v>4</v>
      </c>
      <c r="D2" s="7">
        <v>44144</v>
      </c>
      <c r="E2" s="2">
        <v>0</v>
      </c>
      <c r="F2" s="2">
        <v>63.2</v>
      </c>
      <c r="G2" s="2">
        <v>0</v>
      </c>
      <c r="H2" s="8" t="s">
        <v>57</v>
      </c>
      <c r="I2" s="2">
        <v>0.47789999999999999</v>
      </c>
      <c r="J2" s="2">
        <v>0.40712048000000001</v>
      </c>
      <c r="K2" s="2">
        <v>0.53074883192322264</v>
      </c>
      <c r="L2" s="2">
        <v>0.53074883192322264</v>
      </c>
      <c r="M2" s="2" t="s">
        <v>10</v>
      </c>
      <c r="N2" s="2" t="s">
        <v>10</v>
      </c>
      <c r="O2" s="2" t="s">
        <v>10</v>
      </c>
    </row>
    <row r="3" spans="1:15" x14ac:dyDescent="0.3">
      <c r="A3" s="2" t="s">
        <v>49</v>
      </c>
      <c r="B3" s="2" t="s">
        <v>6</v>
      </c>
      <c r="C3" s="2" t="s">
        <v>5</v>
      </c>
      <c r="D3" s="7">
        <v>44144</v>
      </c>
      <c r="E3" s="2">
        <v>0</v>
      </c>
      <c r="F3" s="2">
        <v>58</v>
      </c>
      <c r="G3" s="2">
        <v>0</v>
      </c>
      <c r="H3" s="8" t="s">
        <v>58</v>
      </c>
      <c r="I3" s="2">
        <v>0.2641</v>
      </c>
      <c r="J3" s="2">
        <v>0.40712048000000001</v>
      </c>
      <c r="K3" s="2">
        <v>0.65598560424295982</v>
      </c>
      <c r="L3" s="2">
        <v>0.65598560424295982</v>
      </c>
      <c r="M3" s="2" t="s">
        <v>10</v>
      </c>
      <c r="N3" s="2" t="s">
        <v>10</v>
      </c>
      <c r="O3" s="2" t="s">
        <v>10</v>
      </c>
    </row>
    <row r="4" spans="1:15" x14ac:dyDescent="0.3">
      <c r="A4" s="2" t="s">
        <v>49</v>
      </c>
      <c r="B4" s="2" t="s">
        <v>7</v>
      </c>
      <c r="C4" s="2" t="s">
        <v>4</v>
      </c>
      <c r="D4" s="7">
        <v>44144</v>
      </c>
      <c r="E4" s="2">
        <v>0</v>
      </c>
      <c r="F4" s="2">
        <v>55.6</v>
      </c>
      <c r="G4" s="2">
        <v>0</v>
      </c>
      <c r="H4" s="8" t="s">
        <v>59</v>
      </c>
      <c r="I4" s="2">
        <v>-1.4064000000000001</v>
      </c>
      <c r="J4" s="2">
        <v>0.40712048000000001</v>
      </c>
      <c r="K4" s="2">
        <v>0.58615355474176034</v>
      </c>
      <c r="L4" s="2">
        <v>0.58615355474176034</v>
      </c>
      <c r="M4" s="2" t="s">
        <v>10</v>
      </c>
      <c r="N4" s="2" t="s">
        <v>10</v>
      </c>
      <c r="O4" s="2" t="s">
        <v>10</v>
      </c>
    </row>
    <row r="5" spans="1:15" x14ac:dyDescent="0.3">
      <c r="A5" s="2" t="s">
        <v>49</v>
      </c>
      <c r="B5" s="2" t="s">
        <v>8</v>
      </c>
      <c r="C5" s="2" t="s">
        <v>5</v>
      </c>
      <c r="D5" s="7">
        <v>44144</v>
      </c>
      <c r="E5" s="2">
        <v>0</v>
      </c>
      <c r="F5" s="2">
        <v>65</v>
      </c>
      <c r="G5" s="2">
        <v>0</v>
      </c>
      <c r="H5" s="8" t="s">
        <v>60</v>
      </c>
      <c r="I5" s="2">
        <v>-1.6519999999999999</v>
      </c>
      <c r="J5" s="2">
        <v>0.40712048000000001</v>
      </c>
      <c r="K5" s="2">
        <v>0.55016416214168462</v>
      </c>
      <c r="L5" s="2">
        <v>0.55016416214168462</v>
      </c>
      <c r="M5" s="2" t="s">
        <v>10</v>
      </c>
      <c r="N5" s="2" t="s">
        <v>10</v>
      </c>
      <c r="O5" s="2" t="s">
        <v>10</v>
      </c>
    </row>
    <row r="6" spans="1:15" x14ac:dyDescent="0.3">
      <c r="A6" s="2" t="s">
        <v>50</v>
      </c>
      <c r="B6" s="2" t="s">
        <v>9</v>
      </c>
      <c r="C6" s="2" t="s">
        <v>4</v>
      </c>
      <c r="D6" s="7">
        <v>44144</v>
      </c>
      <c r="E6" s="2">
        <v>0</v>
      </c>
      <c r="F6" s="2">
        <v>59.8</v>
      </c>
      <c r="G6" s="2">
        <v>0</v>
      </c>
      <c r="H6" s="8" t="s">
        <v>61</v>
      </c>
      <c r="I6" s="2">
        <v>-2.82</v>
      </c>
      <c r="J6" s="2">
        <v>0.28119871699999999</v>
      </c>
      <c r="K6" s="2" t="s">
        <v>10</v>
      </c>
      <c r="L6" s="2">
        <v>1</v>
      </c>
      <c r="M6" s="2" t="s">
        <v>10</v>
      </c>
      <c r="N6" s="2" t="s">
        <v>10</v>
      </c>
      <c r="O6" s="2" t="s">
        <v>10</v>
      </c>
    </row>
    <row r="7" spans="1:15" x14ac:dyDescent="0.3">
      <c r="A7" s="2" t="s">
        <v>50</v>
      </c>
      <c r="B7" s="2" t="s">
        <v>11</v>
      </c>
      <c r="C7" s="2" t="s">
        <v>5</v>
      </c>
      <c r="D7" s="7">
        <v>44144</v>
      </c>
      <c r="E7" s="2">
        <v>0</v>
      </c>
      <c r="F7" s="2">
        <v>73.400000000000006</v>
      </c>
      <c r="G7" s="2">
        <v>0</v>
      </c>
      <c r="H7" s="8" t="s">
        <v>62</v>
      </c>
      <c r="I7" s="2">
        <v>-2.1480000000000001</v>
      </c>
      <c r="J7" s="2">
        <v>0.28119871699999999</v>
      </c>
      <c r="K7" s="2">
        <v>0.59796060108599569</v>
      </c>
      <c r="L7" s="2">
        <v>0.59796060108599569</v>
      </c>
      <c r="M7" s="2" t="s">
        <v>10</v>
      </c>
      <c r="N7" s="2" t="s">
        <v>10</v>
      </c>
      <c r="O7" s="2" t="s">
        <v>10</v>
      </c>
    </row>
    <row r="8" spans="1:15" x14ac:dyDescent="0.3">
      <c r="A8" s="2" t="s">
        <v>50</v>
      </c>
      <c r="B8" s="2" t="s">
        <v>12</v>
      </c>
      <c r="C8" s="2" t="s">
        <v>5</v>
      </c>
      <c r="D8" s="7">
        <v>44144</v>
      </c>
      <c r="E8" s="2">
        <v>0</v>
      </c>
      <c r="F8" s="2">
        <v>69.199999999999989</v>
      </c>
      <c r="G8" s="2">
        <v>0</v>
      </c>
      <c r="H8" s="8" t="s">
        <v>63</v>
      </c>
      <c r="I8" s="2">
        <v>-1.0802</v>
      </c>
      <c r="J8" s="2">
        <v>0.28119871699999999</v>
      </c>
      <c r="K8" s="2">
        <v>0.65693269352190931</v>
      </c>
      <c r="L8" s="2">
        <v>0.65693269352190931</v>
      </c>
      <c r="M8" s="2" t="s">
        <v>10</v>
      </c>
      <c r="N8" s="2" t="s">
        <v>10</v>
      </c>
      <c r="O8" s="2" t="s">
        <v>10</v>
      </c>
    </row>
    <row r="9" spans="1:15" x14ac:dyDescent="0.3">
      <c r="A9" s="2" t="s">
        <v>50</v>
      </c>
      <c r="B9" s="2" t="s">
        <v>13</v>
      </c>
      <c r="C9" s="2" t="s">
        <v>4</v>
      </c>
      <c r="D9" s="7">
        <v>44144</v>
      </c>
      <c r="E9" s="2">
        <v>0</v>
      </c>
      <c r="F9" s="2">
        <f>31.4+36</f>
        <v>67.400000000000006</v>
      </c>
      <c r="G9" s="2">
        <v>0</v>
      </c>
      <c r="H9" s="8" t="s">
        <v>64</v>
      </c>
      <c r="I9" s="2">
        <v>-2.3506999999999998</v>
      </c>
      <c r="J9" s="2">
        <v>0.28119871699999999</v>
      </c>
      <c r="K9" s="2">
        <v>0.84909710822073492</v>
      </c>
      <c r="L9" s="2">
        <v>0.84909710822073492</v>
      </c>
      <c r="M9" s="2" t="s">
        <v>10</v>
      </c>
      <c r="N9" s="2" t="s">
        <v>10</v>
      </c>
      <c r="O9" s="2" t="s">
        <v>10</v>
      </c>
    </row>
    <row r="10" spans="1:15" x14ac:dyDescent="0.3">
      <c r="A10" s="2" t="s">
        <v>50</v>
      </c>
      <c r="B10" s="2" t="s">
        <v>14</v>
      </c>
      <c r="C10" s="2" t="s">
        <v>4</v>
      </c>
      <c r="D10" s="7">
        <v>44144</v>
      </c>
      <c r="E10" s="2">
        <v>0</v>
      </c>
      <c r="F10" s="2">
        <v>58.2</v>
      </c>
      <c r="G10" s="2">
        <v>0</v>
      </c>
      <c r="H10" s="8" t="s">
        <v>65</v>
      </c>
      <c r="I10" s="2">
        <v>-0.79869999999999997</v>
      </c>
      <c r="J10" s="2">
        <v>0.28119871699999999</v>
      </c>
      <c r="K10" s="2">
        <v>0.48326808940522786</v>
      </c>
      <c r="L10" s="2">
        <v>0.48326808940522786</v>
      </c>
      <c r="M10" s="2" t="s">
        <v>10</v>
      </c>
      <c r="N10" s="2" t="s">
        <v>10</v>
      </c>
      <c r="O10" s="2" t="s">
        <v>10</v>
      </c>
    </row>
    <row r="11" spans="1:15" x14ac:dyDescent="0.3">
      <c r="A11" s="2" t="s">
        <v>50</v>
      </c>
      <c r="B11" s="2" t="s">
        <v>15</v>
      </c>
      <c r="C11" s="2" t="s">
        <v>5</v>
      </c>
      <c r="D11" s="7">
        <v>44144</v>
      </c>
      <c r="E11" s="2">
        <v>0</v>
      </c>
      <c r="F11" s="2">
        <v>59.4</v>
      </c>
      <c r="G11" s="2">
        <v>0</v>
      </c>
      <c r="H11" s="8" t="s">
        <v>66</v>
      </c>
      <c r="I11" s="2">
        <v>-0.12659999999999999</v>
      </c>
      <c r="J11" s="2">
        <v>0.28119871699999999</v>
      </c>
      <c r="K11" s="2">
        <v>0.7261333501704762</v>
      </c>
      <c r="L11" s="2">
        <v>0.7261333501704762</v>
      </c>
      <c r="M11" s="2" t="s">
        <v>10</v>
      </c>
      <c r="N11" s="2" t="s">
        <v>10</v>
      </c>
      <c r="O11" s="2" t="s">
        <v>10</v>
      </c>
    </row>
    <row r="12" spans="1:15" x14ac:dyDescent="0.3">
      <c r="A12" s="2" t="s">
        <v>50</v>
      </c>
      <c r="B12" s="2" t="s">
        <v>16</v>
      </c>
      <c r="C12" s="2" t="s">
        <v>4</v>
      </c>
      <c r="D12" s="7">
        <v>44144</v>
      </c>
      <c r="E12" s="2">
        <v>0</v>
      </c>
      <c r="F12" s="2">
        <v>65.8</v>
      </c>
      <c r="G12" s="2">
        <v>0</v>
      </c>
      <c r="H12" s="8" t="s">
        <v>67</v>
      </c>
      <c r="I12" s="2">
        <v>-2.0411000000000001</v>
      </c>
      <c r="J12" s="2">
        <v>0.28119871699999999</v>
      </c>
      <c r="K12" s="2">
        <v>0.38767521151660561</v>
      </c>
      <c r="L12" s="2">
        <v>0.38767521151660561</v>
      </c>
      <c r="M12" s="2" t="s">
        <v>10</v>
      </c>
      <c r="N12" s="2" t="s">
        <v>10</v>
      </c>
      <c r="O12" s="2" t="s">
        <v>10</v>
      </c>
    </row>
    <row r="13" spans="1:15" x14ac:dyDescent="0.3">
      <c r="A13" s="2" t="s">
        <v>50</v>
      </c>
      <c r="B13" s="2" t="s">
        <v>17</v>
      </c>
      <c r="C13" s="2" t="s">
        <v>5</v>
      </c>
      <c r="D13" s="7">
        <v>44144</v>
      </c>
      <c r="E13" s="2">
        <v>0</v>
      </c>
      <c r="F13" s="2">
        <v>60.8</v>
      </c>
      <c r="G13" s="2">
        <v>0</v>
      </c>
      <c r="H13" s="8" t="s">
        <v>68</v>
      </c>
      <c r="I13" s="2">
        <v>-0.18609999999999999</v>
      </c>
      <c r="J13" s="2">
        <v>0.28119871699999999</v>
      </c>
      <c r="K13" s="2">
        <v>0.4765753251673191</v>
      </c>
      <c r="L13" s="2">
        <v>0.4765753251673191</v>
      </c>
      <c r="M13" s="2" t="s">
        <v>10</v>
      </c>
      <c r="N13" s="2" t="s">
        <v>10</v>
      </c>
      <c r="O13" s="2" t="s">
        <v>10</v>
      </c>
    </row>
    <row r="14" spans="1:15" x14ac:dyDescent="0.3">
      <c r="A14" s="2" t="s">
        <v>50</v>
      </c>
      <c r="B14" s="2" t="s">
        <v>18</v>
      </c>
      <c r="C14" s="2" t="s">
        <v>4</v>
      </c>
      <c r="D14" s="7">
        <v>44144</v>
      </c>
      <c r="E14" s="2">
        <v>0</v>
      </c>
      <c r="F14" s="2">
        <v>52.400000000000006</v>
      </c>
      <c r="G14" s="2">
        <v>0</v>
      </c>
      <c r="H14" s="8" t="s">
        <v>69</v>
      </c>
      <c r="I14" s="2">
        <v>-1.62</v>
      </c>
      <c r="J14" s="2">
        <v>0.28119871699999999</v>
      </c>
      <c r="K14" s="2" t="s">
        <v>10</v>
      </c>
      <c r="L14" s="2">
        <v>0.88783305972976378</v>
      </c>
      <c r="M14" s="2" t="s">
        <v>10</v>
      </c>
      <c r="N14" s="2" t="s">
        <v>10</v>
      </c>
      <c r="O14" s="2" t="s">
        <v>10</v>
      </c>
    </row>
    <row r="15" spans="1:15" x14ac:dyDescent="0.3">
      <c r="A15" s="2" t="s">
        <v>50</v>
      </c>
      <c r="B15" s="2" t="s">
        <v>19</v>
      </c>
      <c r="C15" s="2" t="s">
        <v>5</v>
      </c>
      <c r="D15" s="7">
        <v>44144</v>
      </c>
      <c r="E15" s="2">
        <v>0</v>
      </c>
      <c r="F15" s="2">
        <v>57</v>
      </c>
      <c r="G15" s="2">
        <v>0</v>
      </c>
      <c r="H15" s="8" t="s">
        <v>70</v>
      </c>
      <c r="I15" s="2">
        <v>-0.1143</v>
      </c>
      <c r="J15" s="2">
        <v>0.28119871699999999</v>
      </c>
      <c r="K15" s="2" t="s">
        <v>10</v>
      </c>
      <c r="L15" s="2">
        <v>0.7870627604495517</v>
      </c>
      <c r="M15" s="2" t="s">
        <v>10</v>
      </c>
      <c r="N15" s="2" t="s">
        <v>10</v>
      </c>
      <c r="O15" s="2" t="s">
        <v>10</v>
      </c>
    </row>
    <row r="16" spans="1:15" x14ac:dyDescent="0.3">
      <c r="A16" s="2" t="s">
        <v>51</v>
      </c>
      <c r="B16" s="2" t="s">
        <v>20</v>
      </c>
      <c r="C16" s="2" t="s">
        <v>4</v>
      </c>
      <c r="D16" s="7">
        <v>44144</v>
      </c>
      <c r="E16" s="2">
        <v>0</v>
      </c>
      <c r="F16" s="2">
        <v>59.6</v>
      </c>
      <c r="G16" s="2">
        <v>0</v>
      </c>
      <c r="H16" s="8" t="s">
        <v>71</v>
      </c>
      <c r="I16" s="2">
        <v>-1.093</v>
      </c>
      <c r="J16" s="2">
        <v>0.16327649999999999</v>
      </c>
      <c r="K16" s="2">
        <v>1</v>
      </c>
      <c r="L16" s="2">
        <v>1</v>
      </c>
      <c r="M16" s="2" t="s">
        <v>10</v>
      </c>
      <c r="N16" s="2" t="s">
        <v>10</v>
      </c>
      <c r="O16" s="2" t="s">
        <v>10</v>
      </c>
    </row>
    <row r="17" spans="1:15" x14ac:dyDescent="0.3">
      <c r="A17" s="2" t="s">
        <v>51</v>
      </c>
      <c r="B17" s="2" t="s">
        <v>21</v>
      </c>
      <c r="C17" s="2" t="s">
        <v>4</v>
      </c>
      <c r="D17" s="7">
        <v>44144</v>
      </c>
      <c r="E17" s="2">
        <v>0</v>
      </c>
      <c r="F17" s="2">
        <v>58</v>
      </c>
      <c r="G17" s="2">
        <v>0</v>
      </c>
      <c r="H17" s="8" t="s">
        <v>72</v>
      </c>
      <c r="I17" s="2">
        <v>-1.3904000000000001</v>
      </c>
      <c r="J17" s="2">
        <v>0.16327649999999999</v>
      </c>
      <c r="K17" s="2">
        <v>0.71495769667887354</v>
      </c>
      <c r="L17" s="2">
        <v>0.71495769667887354</v>
      </c>
      <c r="M17" s="2" t="s">
        <v>10</v>
      </c>
      <c r="N17" s="2" t="s">
        <v>10</v>
      </c>
      <c r="O17" s="2" t="s">
        <v>10</v>
      </c>
    </row>
    <row r="18" spans="1:15" x14ac:dyDescent="0.3">
      <c r="A18" s="2" t="s">
        <v>51</v>
      </c>
      <c r="B18" s="2" t="s">
        <v>22</v>
      </c>
      <c r="C18" s="2" t="s">
        <v>5</v>
      </c>
      <c r="D18" s="7">
        <v>44144</v>
      </c>
      <c r="E18" s="2">
        <v>0</v>
      </c>
      <c r="F18" s="2">
        <v>68.400000000000006</v>
      </c>
      <c r="G18" s="2">
        <v>0</v>
      </c>
      <c r="H18" s="8" t="s">
        <v>73</v>
      </c>
      <c r="I18" s="2">
        <v>-0.89880000000000004</v>
      </c>
      <c r="J18" s="2">
        <v>0.16327649999999999</v>
      </c>
      <c r="K18" s="2">
        <v>0.48162646798838238</v>
      </c>
      <c r="L18" s="2">
        <v>0.48162646798838238</v>
      </c>
      <c r="M18" s="2" t="s">
        <v>10</v>
      </c>
      <c r="N18" s="2" t="s">
        <v>10</v>
      </c>
      <c r="O18" s="2" t="s">
        <v>10</v>
      </c>
    </row>
    <row r="19" spans="1:15" x14ac:dyDescent="0.3">
      <c r="A19" s="2" t="s">
        <v>51</v>
      </c>
      <c r="B19" s="2" t="s">
        <v>23</v>
      </c>
      <c r="C19" s="2" t="s">
        <v>4</v>
      </c>
      <c r="D19" s="7">
        <v>44144</v>
      </c>
      <c r="E19" s="2">
        <v>0</v>
      </c>
      <c r="F19" s="2" t="s">
        <v>10</v>
      </c>
      <c r="G19" s="2">
        <v>0</v>
      </c>
      <c r="H19" s="8" t="s">
        <v>74</v>
      </c>
      <c r="I19" s="2">
        <v>-0.7137</v>
      </c>
      <c r="J19" s="2">
        <v>0.16327649999999999</v>
      </c>
      <c r="K19" s="2">
        <v>0.9395757040030307</v>
      </c>
      <c r="L19" s="2">
        <v>0.9395757040030307</v>
      </c>
      <c r="M19" s="2" t="s">
        <v>10</v>
      </c>
      <c r="N19" s="2" t="s">
        <v>10</v>
      </c>
      <c r="O19" s="2" t="s">
        <v>10</v>
      </c>
    </row>
    <row r="20" spans="1:15" x14ac:dyDescent="0.3">
      <c r="A20" s="2" t="s">
        <v>51</v>
      </c>
      <c r="B20" s="2" t="s">
        <v>24</v>
      </c>
      <c r="C20" s="2" t="s">
        <v>5</v>
      </c>
      <c r="D20" s="7">
        <v>44144</v>
      </c>
      <c r="E20" s="2">
        <v>0</v>
      </c>
      <c r="F20" s="2">
        <v>80.400000000000006</v>
      </c>
      <c r="G20" s="2">
        <v>0</v>
      </c>
      <c r="H20" s="8" t="s">
        <v>75</v>
      </c>
      <c r="I20" s="2">
        <v>-1.0988</v>
      </c>
      <c r="J20" s="2">
        <v>0.16327649999999999</v>
      </c>
      <c r="K20" s="2">
        <v>0.6982573557267332</v>
      </c>
      <c r="L20" s="2">
        <v>0.6982573557267332</v>
      </c>
      <c r="M20" s="2" t="s">
        <v>10</v>
      </c>
      <c r="N20" s="2" t="s">
        <v>10</v>
      </c>
      <c r="O20" s="2" t="s">
        <v>10</v>
      </c>
    </row>
    <row r="21" spans="1:15" x14ac:dyDescent="0.3">
      <c r="A21" s="2" t="s">
        <v>51</v>
      </c>
      <c r="B21" s="2" t="s">
        <v>25</v>
      </c>
      <c r="C21" s="2" t="s">
        <v>4</v>
      </c>
      <c r="D21" s="7">
        <v>44144</v>
      </c>
      <c r="E21" s="2">
        <v>0</v>
      </c>
      <c r="F21" s="2">
        <v>65.8</v>
      </c>
      <c r="G21" s="2">
        <v>0</v>
      </c>
      <c r="H21" s="8" t="s">
        <v>76</v>
      </c>
      <c r="I21" s="2">
        <v>-1.9649000000000001</v>
      </c>
      <c r="J21" s="2">
        <v>0.16327649999999999</v>
      </c>
      <c r="K21" s="2" t="s">
        <v>10</v>
      </c>
      <c r="L21" s="2">
        <v>0.7802121479984846</v>
      </c>
      <c r="M21" s="2" t="s">
        <v>10</v>
      </c>
      <c r="N21" s="2" t="s">
        <v>10</v>
      </c>
      <c r="O21" s="2" t="s">
        <v>10</v>
      </c>
    </row>
    <row r="22" spans="1:15" x14ac:dyDescent="0.3">
      <c r="A22" s="2" t="s">
        <v>52</v>
      </c>
      <c r="B22" s="2" t="s">
        <v>26</v>
      </c>
      <c r="C22" s="2" t="s">
        <v>4</v>
      </c>
      <c r="D22" s="7">
        <v>44144</v>
      </c>
      <c r="E22" s="2">
        <v>0</v>
      </c>
      <c r="F22" s="2">
        <v>50.2</v>
      </c>
      <c r="G22" s="2">
        <v>0</v>
      </c>
      <c r="H22" s="8" t="s">
        <v>77</v>
      </c>
      <c r="I22" s="2">
        <v>-1.3703000000000001</v>
      </c>
      <c r="J22" s="2">
        <v>0.70806444000000002</v>
      </c>
      <c r="K22" s="2">
        <v>0.59713979037757292</v>
      </c>
      <c r="L22" s="2">
        <v>0.59713979037757292</v>
      </c>
      <c r="M22" s="2" t="s">
        <v>10</v>
      </c>
      <c r="N22" s="2" t="s">
        <v>10</v>
      </c>
      <c r="O22" s="2" t="s">
        <v>10</v>
      </c>
    </row>
    <row r="23" spans="1:15" x14ac:dyDescent="0.3">
      <c r="A23" s="2" t="s">
        <v>52</v>
      </c>
      <c r="B23" s="2" t="s">
        <v>27</v>
      </c>
      <c r="C23" s="2" t="s">
        <v>5</v>
      </c>
      <c r="D23" s="7">
        <v>44144</v>
      </c>
      <c r="E23" s="2">
        <v>0</v>
      </c>
      <c r="F23" s="2">
        <v>54.400000000000006</v>
      </c>
      <c r="G23" s="2">
        <v>0</v>
      </c>
      <c r="H23" s="8" t="s">
        <v>78</v>
      </c>
      <c r="I23" s="2">
        <v>1.0296000000000001</v>
      </c>
      <c r="J23" s="2">
        <v>0.70806444000000002</v>
      </c>
      <c r="K23" s="2">
        <v>0.48718272509155197</v>
      </c>
      <c r="L23" s="2">
        <v>0.48718272509155197</v>
      </c>
      <c r="M23" s="2" t="s">
        <v>10</v>
      </c>
      <c r="N23" s="2" t="s">
        <v>10</v>
      </c>
      <c r="O23" s="2" t="s">
        <v>10</v>
      </c>
    </row>
    <row r="24" spans="1:15" x14ac:dyDescent="0.3">
      <c r="A24" s="2" t="s">
        <v>52</v>
      </c>
      <c r="B24" s="2" t="s">
        <v>28</v>
      </c>
      <c r="C24" s="2" t="s">
        <v>5</v>
      </c>
      <c r="D24" s="7">
        <v>44144</v>
      </c>
      <c r="E24" s="2">
        <v>0</v>
      </c>
      <c r="F24" s="2">
        <v>77.2</v>
      </c>
      <c r="G24" s="2">
        <v>0</v>
      </c>
      <c r="H24" s="8" t="s">
        <v>79</v>
      </c>
      <c r="I24" s="2">
        <v>-1.7937000000000001</v>
      </c>
      <c r="J24" s="2">
        <v>0.70806444000000002</v>
      </c>
      <c r="K24" s="2">
        <v>0.49513827503472657</v>
      </c>
      <c r="L24" s="2">
        <v>0.49513827503472657</v>
      </c>
      <c r="M24" s="2" t="s">
        <v>10</v>
      </c>
      <c r="N24" s="2" t="s">
        <v>10</v>
      </c>
      <c r="O24" s="2" t="s">
        <v>10</v>
      </c>
    </row>
    <row r="25" spans="1:15" x14ac:dyDescent="0.3">
      <c r="A25" s="2" t="s">
        <v>53</v>
      </c>
      <c r="B25" s="2" t="s">
        <v>29</v>
      </c>
      <c r="C25" s="2" t="s">
        <v>4</v>
      </c>
      <c r="D25" s="7">
        <v>44144</v>
      </c>
      <c r="E25" s="2">
        <v>0</v>
      </c>
      <c r="F25" s="2">
        <v>56.400000000000006</v>
      </c>
      <c r="G25" s="2">
        <v>0</v>
      </c>
      <c r="H25" s="8" t="s">
        <v>80</v>
      </c>
      <c r="I25" s="2">
        <v>-1.7148000000000001</v>
      </c>
      <c r="J25" s="2">
        <v>1</v>
      </c>
      <c r="K25" s="2">
        <v>0.16529864881929535</v>
      </c>
      <c r="L25" s="2">
        <v>0.16529864881929535</v>
      </c>
      <c r="M25" s="2" t="s">
        <v>10</v>
      </c>
      <c r="N25" s="2" t="s">
        <v>10</v>
      </c>
      <c r="O25" s="2" t="s">
        <v>10</v>
      </c>
    </row>
    <row r="26" spans="1:15" x14ac:dyDescent="0.3">
      <c r="A26" s="2" t="s">
        <v>53</v>
      </c>
      <c r="B26" s="2" t="s">
        <v>30</v>
      </c>
      <c r="C26" s="2" t="s">
        <v>5</v>
      </c>
      <c r="D26" s="7">
        <v>44144</v>
      </c>
      <c r="E26" s="2">
        <v>0</v>
      </c>
      <c r="F26" s="2">
        <v>58.599999999999994</v>
      </c>
      <c r="G26" s="2">
        <v>0</v>
      </c>
      <c r="H26" s="8" t="s">
        <v>81</v>
      </c>
      <c r="I26" s="2">
        <v>-1.3379000000000001</v>
      </c>
      <c r="J26" s="2">
        <v>1</v>
      </c>
      <c r="K26" s="2">
        <v>0.59893926000757658</v>
      </c>
      <c r="L26" s="2">
        <v>0.59893926000757658</v>
      </c>
      <c r="M26" s="2" t="s">
        <v>10</v>
      </c>
      <c r="N26" s="2" t="s">
        <v>10</v>
      </c>
      <c r="O26" s="2" t="s">
        <v>10</v>
      </c>
    </row>
    <row r="27" spans="1:15" x14ac:dyDescent="0.3">
      <c r="A27" s="2" t="s">
        <v>53</v>
      </c>
      <c r="B27" s="2" t="s">
        <v>31</v>
      </c>
      <c r="C27" s="2" t="s">
        <v>4</v>
      </c>
      <c r="D27" s="7">
        <v>44144</v>
      </c>
      <c r="E27" s="2">
        <v>0</v>
      </c>
      <c r="F27" s="2">
        <v>49.2</v>
      </c>
      <c r="G27" s="2">
        <v>0</v>
      </c>
      <c r="H27" s="8" t="s">
        <v>82</v>
      </c>
      <c r="I27" s="2">
        <v>-1.3234999999999999</v>
      </c>
      <c r="J27" s="2">
        <v>1</v>
      </c>
      <c r="K27" s="2">
        <v>1</v>
      </c>
      <c r="L27" s="2">
        <v>1</v>
      </c>
      <c r="M27" s="2" t="s">
        <v>10</v>
      </c>
      <c r="N27" s="2" t="s">
        <v>10</v>
      </c>
      <c r="O27" s="2" t="s">
        <v>10</v>
      </c>
    </row>
    <row r="28" spans="1:15" x14ac:dyDescent="0.3">
      <c r="A28" s="2" t="s">
        <v>53</v>
      </c>
      <c r="B28" s="2" t="s">
        <v>32</v>
      </c>
      <c r="C28" s="2" t="s">
        <v>5</v>
      </c>
      <c r="D28" s="7">
        <v>44144</v>
      </c>
      <c r="E28" s="2">
        <v>0</v>
      </c>
      <c r="F28" s="2">
        <v>64.8</v>
      </c>
      <c r="G28" s="2">
        <v>0</v>
      </c>
      <c r="H28" s="8" t="s">
        <v>83</v>
      </c>
      <c r="I28" s="2">
        <v>-0.97019999999999995</v>
      </c>
      <c r="J28" s="2">
        <v>1</v>
      </c>
      <c r="K28" s="2">
        <v>0.62088016163657023</v>
      </c>
      <c r="L28" s="2">
        <v>0.62088016163657023</v>
      </c>
      <c r="M28" s="2" t="s">
        <v>10</v>
      </c>
      <c r="N28" s="2" t="s">
        <v>10</v>
      </c>
      <c r="O28" s="2" t="s">
        <v>10</v>
      </c>
    </row>
    <row r="29" spans="1:15" x14ac:dyDescent="0.3">
      <c r="A29" s="2" t="s">
        <v>53</v>
      </c>
      <c r="B29" s="2" t="s">
        <v>33</v>
      </c>
      <c r="C29" s="2" t="s">
        <v>4</v>
      </c>
      <c r="D29" s="7">
        <v>44144</v>
      </c>
      <c r="E29" s="2">
        <v>0</v>
      </c>
      <c r="F29" s="2">
        <v>63.599999999999994</v>
      </c>
      <c r="G29" s="2">
        <v>0</v>
      </c>
      <c r="H29" s="8" t="s">
        <v>84</v>
      </c>
      <c r="I29" s="2">
        <v>-0.84</v>
      </c>
      <c r="J29" s="2">
        <v>1</v>
      </c>
      <c r="K29" s="2" t="s">
        <v>10</v>
      </c>
      <c r="L29" s="2">
        <v>0.76426947846950355</v>
      </c>
      <c r="M29" s="2" t="s">
        <v>10</v>
      </c>
      <c r="N29" s="2" t="s">
        <v>10</v>
      </c>
      <c r="O29" s="2" t="s">
        <v>10</v>
      </c>
    </row>
    <row r="30" spans="1:15" x14ac:dyDescent="0.3">
      <c r="A30" s="2" t="s">
        <v>53</v>
      </c>
      <c r="B30" s="2" t="s">
        <v>34</v>
      </c>
      <c r="C30" s="2" t="s">
        <v>5</v>
      </c>
      <c r="D30" s="7">
        <v>44144</v>
      </c>
      <c r="E30" s="2">
        <v>0</v>
      </c>
      <c r="F30" s="2">
        <v>53</v>
      </c>
      <c r="G30" s="2">
        <v>0</v>
      </c>
      <c r="H30" s="8" t="s">
        <v>85</v>
      </c>
      <c r="I30" s="2">
        <v>-0.87060000000000004</v>
      </c>
      <c r="J30" s="2">
        <v>1</v>
      </c>
      <c r="K30" s="2">
        <v>0.71281096097992169</v>
      </c>
      <c r="L30" s="2">
        <v>0.71281096097992169</v>
      </c>
      <c r="M30" s="2" t="s">
        <v>10</v>
      </c>
      <c r="N30" s="2" t="s">
        <v>10</v>
      </c>
      <c r="O30" s="2" t="s">
        <v>10</v>
      </c>
    </row>
    <row r="31" spans="1:15" x14ac:dyDescent="0.3">
      <c r="A31" s="2" t="s">
        <v>53</v>
      </c>
      <c r="B31" s="2" t="s">
        <v>35</v>
      </c>
      <c r="C31" s="2" t="s">
        <v>5</v>
      </c>
      <c r="D31" s="7">
        <v>44144</v>
      </c>
      <c r="E31" s="2">
        <v>0</v>
      </c>
      <c r="F31" s="2">
        <v>52.4</v>
      </c>
      <c r="G31" s="2">
        <v>0</v>
      </c>
      <c r="H31" s="8" t="s">
        <v>86</v>
      </c>
      <c r="I31" s="2">
        <v>-0.99150000000000005</v>
      </c>
      <c r="J31" s="2">
        <v>1</v>
      </c>
      <c r="K31" s="2">
        <v>1</v>
      </c>
      <c r="L31" s="2">
        <v>1</v>
      </c>
      <c r="M31" s="2" t="s">
        <v>10</v>
      </c>
      <c r="N31" s="2" t="s">
        <v>10</v>
      </c>
      <c r="O31" s="2" t="s">
        <v>10</v>
      </c>
    </row>
    <row r="32" spans="1:15" x14ac:dyDescent="0.3">
      <c r="A32" s="2" t="s">
        <v>53</v>
      </c>
      <c r="B32" s="2" t="s">
        <v>36</v>
      </c>
      <c r="C32" s="2" t="s">
        <v>4</v>
      </c>
      <c r="D32" s="7">
        <v>44144</v>
      </c>
      <c r="E32" s="2">
        <v>0</v>
      </c>
      <c r="F32" s="2">
        <v>60.599999999999994</v>
      </c>
      <c r="G32" s="2">
        <v>0</v>
      </c>
      <c r="H32" s="8" t="s">
        <v>87</v>
      </c>
      <c r="I32" s="2">
        <v>-1.5895999999999999</v>
      </c>
      <c r="J32" s="2">
        <v>1</v>
      </c>
      <c r="K32" s="2">
        <v>0.77834953908321758</v>
      </c>
      <c r="L32" s="2">
        <v>0.77834953908321758</v>
      </c>
      <c r="M32" s="2" t="s">
        <v>10</v>
      </c>
      <c r="N32" s="2" t="s">
        <v>10</v>
      </c>
      <c r="O32" s="2" t="s">
        <v>10</v>
      </c>
    </row>
    <row r="33" spans="1:15" x14ac:dyDescent="0.3">
      <c r="A33" s="2" t="s">
        <v>54</v>
      </c>
      <c r="B33" s="2" t="s">
        <v>37</v>
      </c>
      <c r="C33" s="2" t="s">
        <v>5</v>
      </c>
      <c r="D33" s="7">
        <v>44144</v>
      </c>
      <c r="E33" s="2">
        <v>0</v>
      </c>
      <c r="F33" s="2">
        <v>87.6</v>
      </c>
      <c r="G33" s="2">
        <v>0</v>
      </c>
      <c r="H33" s="8" t="s">
        <v>88</v>
      </c>
      <c r="I33" s="2">
        <v>-1.1694</v>
      </c>
      <c r="J33" s="2">
        <v>0.20770442</v>
      </c>
      <c r="K33" s="2">
        <v>0.82977648693016792</v>
      </c>
      <c r="L33" s="2">
        <v>0.82977648693016792</v>
      </c>
      <c r="M33" s="2" t="s">
        <v>10</v>
      </c>
      <c r="N33" s="2" t="s">
        <v>10</v>
      </c>
      <c r="O33" s="2" t="s">
        <v>10</v>
      </c>
    </row>
    <row r="34" spans="1:15" x14ac:dyDescent="0.3">
      <c r="A34" s="2" t="s">
        <v>54</v>
      </c>
      <c r="B34" s="2" t="s">
        <v>38</v>
      </c>
      <c r="C34" s="2" t="s">
        <v>4</v>
      </c>
      <c r="D34" s="7">
        <v>44144</v>
      </c>
      <c r="E34" s="2">
        <v>0</v>
      </c>
      <c r="F34" s="2">
        <v>77.400000000000006</v>
      </c>
      <c r="G34" s="2">
        <v>0</v>
      </c>
      <c r="H34" s="8" t="s">
        <v>89</v>
      </c>
      <c r="I34" s="2">
        <v>-1.3508</v>
      </c>
      <c r="J34" s="2">
        <v>0.20770442</v>
      </c>
      <c r="K34" s="2">
        <v>0.58773203687334263</v>
      </c>
      <c r="L34" s="2">
        <v>0.58773203687334263</v>
      </c>
      <c r="M34" s="2" t="s">
        <v>10</v>
      </c>
      <c r="N34" s="2" t="s">
        <v>10</v>
      </c>
      <c r="O34" s="2" t="s">
        <v>10</v>
      </c>
    </row>
    <row r="35" spans="1:15" x14ac:dyDescent="0.3">
      <c r="A35" s="2" t="s">
        <v>54</v>
      </c>
      <c r="B35" s="2" t="s">
        <v>39</v>
      </c>
      <c r="C35" s="2" t="s">
        <v>5</v>
      </c>
      <c r="D35" s="7">
        <v>44144</v>
      </c>
      <c r="E35" s="2">
        <v>0</v>
      </c>
      <c r="F35" s="2">
        <v>68.8</v>
      </c>
      <c r="G35" s="2">
        <v>0</v>
      </c>
      <c r="H35" s="8" t="s">
        <v>90</v>
      </c>
      <c r="I35" s="2">
        <v>-0.29070000000000001</v>
      </c>
      <c r="J35" s="2">
        <v>0.20770442</v>
      </c>
      <c r="K35" s="2">
        <v>0.71135875741886612</v>
      </c>
      <c r="L35" s="2">
        <v>0.71135875741886612</v>
      </c>
      <c r="M35" s="2" t="s">
        <v>10</v>
      </c>
      <c r="N35" s="2" t="s">
        <v>10</v>
      </c>
      <c r="O35" s="2" t="s">
        <v>10</v>
      </c>
    </row>
    <row r="36" spans="1:15" x14ac:dyDescent="0.3">
      <c r="A36" s="2" t="s">
        <v>55</v>
      </c>
      <c r="B36" s="2" t="s">
        <v>40</v>
      </c>
      <c r="C36" s="2" t="s">
        <v>4</v>
      </c>
      <c r="D36" s="7">
        <v>44144</v>
      </c>
      <c r="E36" s="2">
        <v>0</v>
      </c>
      <c r="F36" s="2">
        <v>71.800000000000011</v>
      </c>
      <c r="G36" s="2">
        <v>0</v>
      </c>
      <c r="H36" s="8" t="s">
        <v>91</v>
      </c>
      <c r="I36" s="2">
        <v>-1.9863999999999999</v>
      </c>
      <c r="J36" s="2">
        <v>0.29140475999999998</v>
      </c>
      <c r="K36" s="2">
        <v>0.93711327187776239</v>
      </c>
      <c r="L36" s="2">
        <v>0.93711327187776239</v>
      </c>
      <c r="M36" s="2" t="s">
        <v>10</v>
      </c>
      <c r="N36" s="2" t="s">
        <v>10</v>
      </c>
      <c r="O36" s="2" t="s">
        <v>10</v>
      </c>
    </row>
    <row r="37" spans="1:15" x14ac:dyDescent="0.3">
      <c r="A37" s="2" t="s">
        <v>55</v>
      </c>
      <c r="B37" s="2" t="s">
        <v>41</v>
      </c>
      <c r="C37" s="2" t="s">
        <v>5</v>
      </c>
      <c r="D37" s="7">
        <v>44144</v>
      </c>
      <c r="E37" s="2">
        <v>0</v>
      </c>
      <c r="F37" s="2">
        <v>62.8</v>
      </c>
      <c r="G37" s="2">
        <v>0</v>
      </c>
      <c r="H37" s="8" t="s">
        <v>92</v>
      </c>
      <c r="I37" s="2">
        <v>-1.2573000000000001</v>
      </c>
      <c r="J37" s="2">
        <v>0.29140475999999998</v>
      </c>
      <c r="K37" s="2">
        <v>0.44197499684303571</v>
      </c>
      <c r="L37" s="2">
        <v>0.44197499684303571</v>
      </c>
      <c r="M37" s="2" t="s">
        <v>10</v>
      </c>
      <c r="N37" s="2" t="s">
        <v>10</v>
      </c>
      <c r="O37" s="2" t="s">
        <v>10</v>
      </c>
    </row>
    <row r="38" spans="1:15" x14ac:dyDescent="0.3">
      <c r="A38" s="2" t="s">
        <v>55</v>
      </c>
      <c r="B38" s="2" t="s">
        <v>42</v>
      </c>
      <c r="C38" s="2" t="s">
        <v>5</v>
      </c>
      <c r="D38" s="7">
        <v>44144</v>
      </c>
      <c r="E38" s="2">
        <v>0</v>
      </c>
      <c r="F38" s="2">
        <v>66.8</v>
      </c>
      <c r="G38" s="2">
        <v>0</v>
      </c>
      <c r="H38" s="8" t="s">
        <v>93</v>
      </c>
      <c r="I38" s="2">
        <v>-1.3524</v>
      </c>
      <c r="J38" s="2">
        <v>0.29140475999999998</v>
      </c>
      <c r="K38" s="2">
        <v>0.14711453466346761</v>
      </c>
      <c r="L38" s="2">
        <v>0.14711453466346761</v>
      </c>
      <c r="M38" s="2" t="s">
        <v>10</v>
      </c>
      <c r="N38" s="2" t="s">
        <v>10</v>
      </c>
      <c r="O38" s="2" t="s">
        <v>10</v>
      </c>
    </row>
    <row r="39" spans="1:15" x14ac:dyDescent="0.3">
      <c r="A39" s="2" t="s">
        <v>55</v>
      </c>
      <c r="B39" s="2" t="s">
        <v>43</v>
      </c>
      <c r="C39" s="2" t="s">
        <v>4</v>
      </c>
      <c r="D39" s="7">
        <v>44144</v>
      </c>
      <c r="E39" s="2">
        <v>0</v>
      </c>
      <c r="F39" s="2">
        <v>70.400000000000006</v>
      </c>
      <c r="G39" s="2">
        <v>0</v>
      </c>
      <c r="H39" s="8" t="s">
        <v>94</v>
      </c>
      <c r="I39" s="2">
        <v>-1.413</v>
      </c>
      <c r="J39" s="2">
        <v>0.29140475999999998</v>
      </c>
      <c r="K39" s="2" t="s">
        <v>10</v>
      </c>
      <c r="L39" s="2">
        <v>0.79113524434903382</v>
      </c>
      <c r="M39" s="2" t="s">
        <v>10</v>
      </c>
      <c r="N39" s="2" t="s">
        <v>10</v>
      </c>
      <c r="O39" s="2" t="s">
        <v>10</v>
      </c>
    </row>
    <row r="40" spans="1:15" x14ac:dyDescent="0.3">
      <c r="A40" s="2" t="s">
        <v>56</v>
      </c>
      <c r="B40" s="2" t="s">
        <v>44</v>
      </c>
      <c r="C40" s="2" t="s">
        <v>5</v>
      </c>
      <c r="D40" s="7">
        <v>44144</v>
      </c>
      <c r="E40" s="2">
        <v>0</v>
      </c>
      <c r="F40" s="2">
        <v>71.199999999999989</v>
      </c>
      <c r="G40" s="2">
        <v>0</v>
      </c>
      <c r="H40" s="8" t="s">
        <v>95</v>
      </c>
      <c r="I40" s="2">
        <v>-1.2146999999999999</v>
      </c>
      <c r="J40" s="2">
        <v>7.4567799999999997E-3</v>
      </c>
      <c r="K40" s="2">
        <v>0.60174895820179308</v>
      </c>
      <c r="L40" s="2">
        <v>0.60174895820179308</v>
      </c>
      <c r="M40" s="2" t="s">
        <v>10</v>
      </c>
      <c r="N40" s="2" t="s">
        <v>10</v>
      </c>
      <c r="O40" s="2" t="s">
        <v>10</v>
      </c>
    </row>
    <row r="41" spans="1:15" x14ac:dyDescent="0.3">
      <c r="A41" s="2" t="s">
        <v>56</v>
      </c>
      <c r="B41" s="2" t="s">
        <v>45</v>
      </c>
      <c r="C41" s="2" t="s">
        <v>4</v>
      </c>
      <c r="D41" s="7">
        <v>44144</v>
      </c>
      <c r="E41" s="2">
        <v>0</v>
      </c>
      <c r="F41" s="2">
        <v>87.8</v>
      </c>
      <c r="G41" s="2">
        <v>0</v>
      </c>
      <c r="H41" s="8" t="s">
        <v>96</v>
      </c>
      <c r="I41" s="2">
        <v>-3.5788000000000002</v>
      </c>
      <c r="J41" s="2">
        <v>7.4567799999999997E-3</v>
      </c>
      <c r="K41" s="2">
        <v>0.75015784821315823</v>
      </c>
      <c r="L41" s="2">
        <v>0.75015784821315823</v>
      </c>
      <c r="M41" s="2" t="s">
        <v>10</v>
      </c>
      <c r="N41" s="2" t="s">
        <v>10</v>
      </c>
      <c r="O41" s="2" t="s">
        <v>10</v>
      </c>
    </row>
    <row r="42" spans="1:15" x14ac:dyDescent="0.3">
      <c r="A42" s="2" t="s">
        <v>56</v>
      </c>
      <c r="B42" s="2" t="s">
        <v>46</v>
      </c>
      <c r="C42" s="2" t="s">
        <v>4</v>
      </c>
      <c r="D42" s="7">
        <v>44144</v>
      </c>
      <c r="E42" s="2">
        <v>0</v>
      </c>
      <c r="F42" s="2">
        <v>59.2</v>
      </c>
      <c r="G42" s="2">
        <v>0</v>
      </c>
      <c r="H42" s="8" t="s">
        <v>97</v>
      </c>
      <c r="I42" s="2">
        <v>-2.6945999999999999</v>
      </c>
      <c r="J42" s="2">
        <v>7.4567799999999997E-3</v>
      </c>
      <c r="K42" s="2">
        <v>0.98427831796944065</v>
      </c>
      <c r="L42" s="2">
        <v>0.98427831796944065</v>
      </c>
      <c r="M42" s="2" t="s">
        <v>10</v>
      </c>
      <c r="N42" s="2" t="s">
        <v>10</v>
      </c>
      <c r="O42" s="2" t="s">
        <v>10</v>
      </c>
    </row>
    <row r="43" spans="1:15" x14ac:dyDescent="0.3">
      <c r="A43" s="2" t="s">
        <v>56</v>
      </c>
      <c r="B43" s="2" t="s">
        <v>47</v>
      </c>
      <c r="C43" s="2" t="s">
        <v>5</v>
      </c>
      <c r="D43" s="7">
        <v>44144</v>
      </c>
      <c r="E43" s="2">
        <v>0</v>
      </c>
      <c r="F43" s="2">
        <v>57.400000000000006</v>
      </c>
      <c r="G43" s="2">
        <v>0</v>
      </c>
      <c r="H43" s="8" t="s">
        <v>98</v>
      </c>
      <c r="I43" s="2">
        <v>-1.228</v>
      </c>
      <c r="J43" s="2">
        <v>7.4567799999999997E-3</v>
      </c>
      <c r="K43" s="2">
        <v>1</v>
      </c>
      <c r="L43" s="2">
        <v>1</v>
      </c>
      <c r="M43" s="2" t="s">
        <v>10</v>
      </c>
      <c r="N43" s="2" t="s">
        <v>10</v>
      </c>
      <c r="O43" s="2" t="s">
        <v>10</v>
      </c>
    </row>
    <row r="44" spans="1:15" x14ac:dyDescent="0.3">
      <c r="A44" s="2" t="s">
        <v>56</v>
      </c>
      <c r="B44" s="2" t="s">
        <v>48</v>
      </c>
      <c r="C44" s="2" t="s">
        <v>4</v>
      </c>
      <c r="D44" s="7">
        <v>44144</v>
      </c>
      <c r="E44" s="2">
        <v>0</v>
      </c>
      <c r="F44" s="2">
        <v>60.2</v>
      </c>
      <c r="G44" s="2">
        <v>0</v>
      </c>
      <c r="H44" s="8" t="s">
        <v>99</v>
      </c>
      <c r="I44" s="2">
        <f xml:space="preserve"> -2.6481</f>
        <v>-2.6480999999999999</v>
      </c>
      <c r="J44" s="2">
        <v>7.4567799999999997E-3</v>
      </c>
      <c r="K44" s="2" t="s">
        <v>10</v>
      </c>
      <c r="L44" s="2">
        <v>0.35487435282232599</v>
      </c>
      <c r="M44" s="2" t="s">
        <v>10</v>
      </c>
      <c r="N44" s="2" t="s">
        <v>10</v>
      </c>
      <c r="O44" s="2" t="s">
        <v>10</v>
      </c>
    </row>
    <row r="45" spans="1:15" x14ac:dyDescent="0.3">
      <c r="A45" s="2" t="s">
        <v>49</v>
      </c>
      <c r="B45" s="2" t="s">
        <v>3</v>
      </c>
      <c r="C45" s="2" t="s">
        <v>4</v>
      </c>
      <c r="D45" s="7">
        <v>44179</v>
      </c>
      <c r="E45" s="2">
        <v>0</v>
      </c>
      <c r="F45" s="2">
        <v>64</v>
      </c>
      <c r="G45" s="9">
        <v>1.2499999999999956E-2</v>
      </c>
      <c r="H45" s="8" t="s">
        <v>10</v>
      </c>
      <c r="I45" s="2" t="s">
        <v>10</v>
      </c>
      <c r="J45" s="2" t="s">
        <v>10</v>
      </c>
      <c r="K45" s="2" t="s">
        <v>10</v>
      </c>
      <c r="L45" s="2" t="s">
        <v>10</v>
      </c>
      <c r="M45" s="2" t="s">
        <v>10</v>
      </c>
      <c r="N45" s="2" t="s">
        <v>10</v>
      </c>
      <c r="O45" s="2" t="s">
        <v>10</v>
      </c>
    </row>
    <row r="46" spans="1:15" x14ac:dyDescent="0.3">
      <c r="A46" s="2" t="s">
        <v>49</v>
      </c>
      <c r="B46" s="2" t="s">
        <v>6</v>
      </c>
      <c r="C46" s="2" t="s">
        <v>5</v>
      </c>
      <c r="D46" s="7">
        <v>44179</v>
      </c>
      <c r="E46" s="2">
        <v>0</v>
      </c>
      <c r="F46" s="2">
        <v>58.5</v>
      </c>
      <c r="G46" s="9">
        <v>8.5470085470085166E-3</v>
      </c>
      <c r="H46" s="8" t="s">
        <v>10</v>
      </c>
      <c r="I46" s="2" t="s">
        <v>10</v>
      </c>
      <c r="J46" s="2" t="s">
        <v>10</v>
      </c>
      <c r="K46" s="2" t="s">
        <v>10</v>
      </c>
      <c r="L46" s="2" t="s">
        <v>10</v>
      </c>
      <c r="M46" s="2" t="s">
        <v>10</v>
      </c>
      <c r="N46" s="2" t="s">
        <v>10</v>
      </c>
      <c r="O46" s="2" t="s">
        <v>10</v>
      </c>
    </row>
    <row r="47" spans="1:15" x14ac:dyDescent="0.3">
      <c r="A47" s="2" t="s">
        <v>49</v>
      </c>
      <c r="B47" s="2" t="s">
        <v>7</v>
      </c>
      <c r="C47" s="2" t="s">
        <v>4</v>
      </c>
      <c r="D47" s="7">
        <v>44179</v>
      </c>
      <c r="E47" s="2">
        <v>0</v>
      </c>
      <c r="F47" s="2">
        <v>50.599999999999994</v>
      </c>
      <c r="G47" s="9">
        <v>-9.8814229249011953E-2</v>
      </c>
      <c r="H47" s="8" t="s">
        <v>10</v>
      </c>
      <c r="I47" s="2" t="s">
        <v>10</v>
      </c>
      <c r="J47" s="2" t="s">
        <v>10</v>
      </c>
      <c r="K47" s="2" t="s">
        <v>10</v>
      </c>
      <c r="L47" s="2" t="s">
        <v>10</v>
      </c>
      <c r="M47" s="2" t="s">
        <v>10</v>
      </c>
      <c r="N47" s="2" t="s">
        <v>10</v>
      </c>
      <c r="O47" s="2" t="s">
        <v>10</v>
      </c>
    </row>
    <row r="48" spans="1:15" x14ac:dyDescent="0.3">
      <c r="A48" s="2" t="s">
        <v>49</v>
      </c>
      <c r="B48" s="2" t="s">
        <v>8</v>
      </c>
      <c r="C48" s="2" t="s">
        <v>5</v>
      </c>
      <c r="D48" s="7">
        <v>44179</v>
      </c>
      <c r="E48" s="2">
        <v>0</v>
      </c>
      <c r="F48" s="2">
        <v>62</v>
      </c>
      <c r="G48" s="9">
        <v>-4.8387096774193505E-2</v>
      </c>
      <c r="H48" s="8" t="s">
        <v>10</v>
      </c>
      <c r="I48" s="2" t="s">
        <v>10</v>
      </c>
      <c r="J48" s="2" t="s">
        <v>10</v>
      </c>
      <c r="K48" s="2" t="s">
        <v>10</v>
      </c>
      <c r="L48" s="2" t="s">
        <v>10</v>
      </c>
      <c r="M48" s="2" t="s">
        <v>10</v>
      </c>
      <c r="N48" s="2" t="s">
        <v>10</v>
      </c>
      <c r="O48" s="2" t="s">
        <v>10</v>
      </c>
    </row>
    <row r="49" spans="1:15" x14ac:dyDescent="0.3">
      <c r="A49" s="2" t="s">
        <v>50</v>
      </c>
      <c r="B49" s="2" t="s">
        <v>9</v>
      </c>
      <c r="C49" s="2" t="s">
        <v>4</v>
      </c>
      <c r="D49" s="7">
        <v>44179</v>
      </c>
      <c r="E49" s="2">
        <v>0</v>
      </c>
      <c r="F49" s="2">
        <v>56.400000000000006</v>
      </c>
      <c r="G49" s="9">
        <v>-6.0283687943262221E-2</v>
      </c>
      <c r="H49" s="8" t="s">
        <v>10</v>
      </c>
      <c r="I49" s="2" t="s">
        <v>10</v>
      </c>
      <c r="J49" s="2" t="s">
        <v>10</v>
      </c>
      <c r="K49" s="2" t="s">
        <v>10</v>
      </c>
      <c r="L49" s="2" t="s">
        <v>10</v>
      </c>
      <c r="M49" s="2" t="s">
        <v>10</v>
      </c>
      <c r="N49" s="2" t="s">
        <v>10</v>
      </c>
      <c r="O49" s="2" t="s">
        <v>10</v>
      </c>
    </row>
    <row r="50" spans="1:15" x14ac:dyDescent="0.3">
      <c r="A50" s="2" t="s">
        <v>50</v>
      </c>
      <c r="B50" s="2" t="s">
        <v>11</v>
      </c>
      <c r="C50" s="2" t="s">
        <v>5</v>
      </c>
      <c r="D50" s="7">
        <v>44179</v>
      </c>
      <c r="E50" s="2">
        <v>0</v>
      </c>
      <c r="F50" s="2">
        <v>72.199999999999989</v>
      </c>
      <c r="G50" s="9">
        <v>-1.6620498614958734E-2</v>
      </c>
      <c r="H50" s="8" t="s">
        <v>10</v>
      </c>
      <c r="I50" s="2" t="s">
        <v>10</v>
      </c>
      <c r="J50" s="2" t="s">
        <v>10</v>
      </c>
      <c r="K50" s="2" t="s">
        <v>10</v>
      </c>
      <c r="L50" s="2" t="s">
        <v>10</v>
      </c>
      <c r="M50" s="2" t="s">
        <v>10</v>
      </c>
      <c r="N50" s="2" t="s">
        <v>10</v>
      </c>
      <c r="O50" s="2" t="s">
        <v>10</v>
      </c>
    </row>
    <row r="51" spans="1:15" x14ac:dyDescent="0.3">
      <c r="A51" s="2" t="s">
        <v>50</v>
      </c>
      <c r="B51" s="2" t="s">
        <v>12</v>
      </c>
      <c r="C51" s="2" t="s">
        <v>5</v>
      </c>
      <c r="D51" s="7">
        <v>44179</v>
      </c>
      <c r="E51" s="2">
        <v>0</v>
      </c>
      <c r="F51" s="2">
        <v>66</v>
      </c>
      <c r="G51" s="9">
        <v>-4.8484848484848353E-2</v>
      </c>
      <c r="H51" s="8" t="s">
        <v>10</v>
      </c>
      <c r="I51" s="2" t="s">
        <v>10</v>
      </c>
      <c r="J51" s="2" t="s">
        <v>10</v>
      </c>
      <c r="K51" s="2" t="s">
        <v>10</v>
      </c>
      <c r="L51" s="2" t="s">
        <v>10</v>
      </c>
      <c r="M51" s="2" t="s">
        <v>10</v>
      </c>
      <c r="N51" s="2" t="s">
        <v>10</v>
      </c>
      <c r="O51" s="2" t="s">
        <v>10</v>
      </c>
    </row>
    <row r="52" spans="1:15" x14ac:dyDescent="0.3">
      <c r="A52" s="2" t="s">
        <v>50</v>
      </c>
      <c r="B52" s="2" t="s">
        <v>13</v>
      </c>
      <c r="C52" s="2" t="s">
        <v>4</v>
      </c>
      <c r="D52" s="7">
        <v>44179</v>
      </c>
      <c r="E52" s="2">
        <v>0</v>
      </c>
      <c r="F52" s="2">
        <v>49</v>
      </c>
      <c r="G52" s="9">
        <v>-0.37551020408163271</v>
      </c>
      <c r="H52" s="8" t="s">
        <v>10</v>
      </c>
      <c r="I52" s="2" t="s">
        <v>10</v>
      </c>
      <c r="J52" s="2" t="s">
        <v>10</v>
      </c>
      <c r="K52" s="2" t="s">
        <v>10</v>
      </c>
      <c r="L52" s="2" t="s">
        <v>10</v>
      </c>
      <c r="M52" s="2" t="s">
        <v>10</v>
      </c>
      <c r="N52" s="2" t="s">
        <v>10</v>
      </c>
      <c r="O52" s="2" t="s">
        <v>10</v>
      </c>
    </row>
    <row r="53" spans="1:15" x14ac:dyDescent="0.3">
      <c r="A53" s="2" t="s">
        <v>50</v>
      </c>
      <c r="B53" s="2" t="s">
        <v>14</v>
      </c>
      <c r="C53" s="2" t="s">
        <v>4</v>
      </c>
      <c r="D53" s="7">
        <v>44179</v>
      </c>
      <c r="E53" s="2">
        <v>0</v>
      </c>
      <c r="F53" s="2">
        <v>59.4</v>
      </c>
      <c r="G53" s="9">
        <v>2.020202020202011E-2</v>
      </c>
      <c r="H53" s="8" t="s">
        <v>10</v>
      </c>
      <c r="I53" s="2" t="s">
        <v>10</v>
      </c>
      <c r="J53" s="2" t="s">
        <v>10</v>
      </c>
      <c r="K53" s="2" t="s">
        <v>10</v>
      </c>
      <c r="L53" s="2" t="s">
        <v>10</v>
      </c>
      <c r="M53" s="2" t="s">
        <v>10</v>
      </c>
      <c r="N53" s="2" t="s">
        <v>10</v>
      </c>
      <c r="O53" s="2" t="s">
        <v>10</v>
      </c>
    </row>
    <row r="54" spans="1:15" x14ac:dyDescent="0.3">
      <c r="A54" s="2" t="s">
        <v>50</v>
      </c>
      <c r="B54" s="2" t="s">
        <v>15</v>
      </c>
      <c r="C54" s="2" t="s">
        <v>5</v>
      </c>
      <c r="D54" s="7">
        <v>44179</v>
      </c>
      <c r="E54" s="2">
        <v>0</v>
      </c>
      <c r="F54" s="2">
        <v>59.800000000000004</v>
      </c>
      <c r="G54" s="9">
        <v>6.6889632107024477E-3</v>
      </c>
      <c r="H54" s="8" t="s">
        <v>10</v>
      </c>
      <c r="I54" s="2" t="s">
        <v>10</v>
      </c>
      <c r="J54" s="2" t="s">
        <v>10</v>
      </c>
      <c r="K54" s="2" t="s">
        <v>10</v>
      </c>
      <c r="L54" s="2" t="s">
        <v>10</v>
      </c>
      <c r="M54" s="2" t="s">
        <v>10</v>
      </c>
      <c r="N54" s="2" t="s">
        <v>10</v>
      </c>
      <c r="O54" s="2" t="s">
        <v>10</v>
      </c>
    </row>
    <row r="55" spans="1:15" x14ac:dyDescent="0.3">
      <c r="A55" s="2" t="s">
        <v>50</v>
      </c>
      <c r="B55" s="2" t="s">
        <v>16</v>
      </c>
      <c r="C55" s="2" t="s">
        <v>4</v>
      </c>
      <c r="D55" s="7">
        <v>44179</v>
      </c>
      <c r="E55" s="2">
        <v>0</v>
      </c>
      <c r="F55" s="2">
        <v>60.8</v>
      </c>
      <c r="G55" s="9">
        <v>-8.2236842105263053E-2</v>
      </c>
      <c r="H55" s="8" t="s">
        <v>10</v>
      </c>
      <c r="I55" s="2" t="s">
        <v>10</v>
      </c>
      <c r="J55" s="2" t="s">
        <v>10</v>
      </c>
      <c r="K55" s="2" t="s">
        <v>10</v>
      </c>
      <c r="L55" s="2" t="s">
        <v>10</v>
      </c>
      <c r="M55" s="2" t="s">
        <v>10</v>
      </c>
      <c r="N55" s="2" t="s">
        <v>10</v>
      </c>
      <c r="O55" s="2" t="s">
        <v>10</v>
      </c>
    </row>
    <row r="56" spans="1:15" x14ac:dyDescent="0.3">
      <c r="A56" s="2" t="s">
        <v>50</v>
      </c>
      <c r="B56" s="2" t="s">
        <v>17</v>
      </c>
      <c r="C56" s="2" t="s">
        <v>5</v>
      </c>
      <c r="D56" s="7">
        <v>44179</v>
      </c>
      <c r="E56" s="2">
        <v>0</v>
      </c>
      <c r="F56" s="2">
        <v>61.6</v>
      </c>
      <c r="G56" s="9">
        <v>1.2987012987013102E-2</v>
      </c>
      <c r="H56" s="8" t="s">
        <v>10</v>
      </c>
      <c r="I56" s="2" t="s">
        <v>10</v>
      </c>
      <c r="J56" s="2" t="s">
        <v>10</v>
      </c>
      <c r="K56" s="2" t="s">
        <v>10</v>
      </c>
      <c r="L56" s="2" t="s">
        <v>10</v>
      </c>
      <c r="M56" s="2" t="s">
        <v>10</v>
      </c>
      <c r="N56" s="2" t="s">
        <v>10</v>
      </c>
      <c r="O56" s="2" t="s">
        <v>10</v>
      </c>
    </row>
    <row r="57" spans="1:15" x14ac:dyDescent="0.3">
      <c r="A57" s="2" t="s">
        <v>50</v>
      </c>
      <c r="B57" s="2" t="s">
        <v>18</v>
      </c>
      <c r="C57" s="2" t="s">
        <v>4</v>
      </c>
      <c r="D57" s="7">
        <v>44179</v>
      </c>
      <c r="E57" s="2">
        <v>0</v>
      </c>
      <c r="F57" s="2">
        <v>49.2</v>
      </c>
      <c r="G57" s="9">
        <v>-6.5040650406504197E-2</v>
      </c>
      <c r="H57" s="8" t="s">
        <v>10</v>
      </c>
      <c r="I57" s="2" t="s">
        <v>10</v>
      </c>
      <c r="J57" s="2" t="s">
        <v>10</v>
      </c>
      <c r="K57" s="2" t="s">
        <v>10</v>
      </c>
      <c r="L57" s="2" t="s">
        <v>10</v>
      </c>
      <c r="M57" s="2" t="s">
        <v>10</v>
      </c>
      <c r="N57" s="2" t="s">
        <v>10</v>
      </c>
      <c r="O57" s="2" t="s">
        <v>10</v>
      </c>
    </row>
    <row r="58" spans="1:15" x14ac:dyDescent="0.3">
      <c r="A58" s="2" t="s">
        <v>50</v>
      </c>
      <c r="B58" s="2" t="s">
        <v>19</v>
      </c>
      <c r="C58" s="2" t="s">
        <v>5</v>
      </c>
      <c r="D58" s="7">
        <v>44179</v>
      </c>
      <c r="E58" s="2">
        <v>0</v>
      </c>
      <c r="F58" s="2">
        <v>53.8</v>
      </c>
      <c r="G58" s="9">
        <v>-5.9479553903345694E-2</v>
      </c>
      <c r="H58" s="8" t="s">
        <v>10</v>
      </c>
      <c r="I58" s="2" t="s">
        <v>10</v>
      </c>
      <c r="J58" s="2" t="s">
        <v>10</v>
      </c>
      <c r="K58" s="2" t="s">
        <v>10</v>
      </c>
      <c r="L58" s="2" t="s">
        <v>10</v>
      </c>
      <c r="M58" s="2" t="s">
        <v>10</v>
      </c>
      <c r="N58" s="2" t="s">
        <v>10</v>
      </c>
      <c r="O58" s="2" t="s">
        <v>10</v>
      </c>
    </row>
    <row r="59" spans="1:15" x14ac:dyDescent="0.3">
      <c r="A59" s="2" t="s">
        <v>51</v>
      </c>
      <c r="B59" s="2" t="s">
        <v>20</v>
      </c>
      <c r="C59" s="2" t="s">
        <v>4</v>
      </c>
      <c r="D59" s="7">
        <v>44179</v>
      </c>
      <c r="E59" s="2">
        <v>0</v>
      </c>
      <c r="F59" s="2">
        <v>53.4</v>
      </c>
      <c r="G59" s="9">
        <v>-0.11610486891385774</v>
      </c>
      <c r="H59" s="8" t="s">
        <v>10</v>
      </c>
      <c r="I59" s="2" t="s">
        <v>10</v>
      </c>
      <c r="J59" s="2" t="s">
        <v>10</v>
      </c>
      <c r="K59" s="2" t="s">
        <v>10</v>
      </c>
      <c r="L59" s="2" t="s">
        <v>10</v>
      </c>
      <c r="M59" s="2" t="s">
        <v>10</v>
      </c>
      <c r="N59" s="2" t="s">
        <v>10</v>
      </c>
      <c r="O59" s="2" t="s">
        <v>10</v>
      </c>
    </row>
    <row r="60" spans="1:15" x14ac:dyDescent="0.3">
      <c r="A60" s="2" t="s">
        <v>51</v>
      </c>
      <c r="B60" s="2" t="s">
        <v>21</v>
      </c>
      <c r="C60" s="2" t="s">
        <v>4</v>
      </c>
      <c r="D60" s="7">
        <v>44179</v>
      </c>
      <c r="E60" s="2">
        <v>0</v>
      </c>
      <c r="F60" s="2">
        <v>55.2</v>
      </c>
      <c r="G60" s="9">
        <v>-5.0724637681159424E-2</v>
      </c>
      <c r="H60" s="8" t="s">
        <v>10</v>
      </c>
      <c r="I60" s="2" t="s">
        <v>10</v>
      </c>
      <c r="J60" s="2" t="s">
        <v>10</v>
      </c>
      <c r="K60" s="2" t="s">
        <v>10</v>
      </c>
      <c r="L60" s="2" t="s">
        <v>10</v>
      </c>
      <c r="M60" s="2" t="s">
        <v>10</v>
      </c>
      <c r="N60" s="2" t="s">
        <v>10</v>
      </c>
      <c r="O60" s="2" t="s">
        <v>10</v>
      </c>
    </row>
    <row r="61" spans="1:15" x14ac:dyDescent="0.3">
      <c r="A61" s="2" t="s">
        <v>51</v>
      </c>
      <c r="B61" s="2" t="s">
        <v>22</v>
      </c>
      <c r="C61" s="2" t="s">
        <v>5</v>
      </c>
      <c r="D61" s="7">
        <v>44179</v>
      </c>
      <c r="E61" s="2">
        <v>0</v>
      </c>
      <c r="F61" s="2">
        <v>62</v>
      </c>
      <c r="G61" s="9">
        <v>-0.10322580645161294</v>
      </c>
      <c r="H61" s="8" t="s">
        <v>10</v>
      </c>
      <c r="I61" s="2" t="s">
        <v>10</v>
      </c>
      <c r="J61" s="2" t="s">
        <v>10</v>
      </c>
      <c r="K61" s="2" t="s">
        <v>10</v>
      </c>
      <c r="L61" s="2" t="s">
        <v>10</v>
      </c>
      <c r="M61" s="2" t="s">
        <v>10</v>
      </c>
      <c r="N61" s="2" t="s">
        <v>10</v>
      </c>
      <c r="O61" s="2" t="s">
        <v>10</v>
      </c>
    </row>
    <row r="62" spans="1:15" x14ac:dyDescent="0.3">
      <c r="A62" s="2" t="s">
        <v>51</v>
      </c>
      <c r="B62" s="2" t="s">
        <v>23</v>
      </c>
      <c r="C62" s="2" t="s">
        <v>4</v>
      </c>
      <c r="D62" s="7">
        <v>44179</v>
      </c>
      <c r="E62" s="2">
        <v>0</v>
      </c>
      <c r="F62" s="2">
        <v>47.2</v>
      </c>
      <c r="G62" s="9">
        <v>0</v>
      </c>
      <c r="H62" s="8" t="s">
        <v>10</v>
      </c>
      <c r="I62" s="2" t="s">
        <v>10</v>
      </c>
      <c r="J62" s="2" t="s">
        <v>10</v>
      </c>
      <c r="K62" s="2" t="s">
        <v>10</v>
      </c>
      <c r="L62" s="2" t="s">
        <v>10</v>
      </c>
      <c r="M62" s="2" t="s">
        <v>10</v>
      </c>
      <c r="N62" s="2" t="s">
        <v>10</v>
      </c>
      <c r="O62" s="2" t="s">
        <v>10</v>
      </c>
    </row>
    <row r="63" spans="1:15" x14ac:dyDescent="0.3">
      <c r="A63" s="2" t="s">
        <v>51</v>
      </c>
      <c r="B63" s="2" t="s">
        <v>24</v>
      </c>
      <c r="C63" s="2" t="s">
        <v>5</v>
      </c>
      <c r="D63" s="7">
        <v>44179</v>
      </c>
      <c r="E63" s="2">
        <v>0</v>
      </c>
      <c r="F63" s="2">
        <v>77.599999999999994</v>
      </c>
      <c r="G63" s="9">
        <v>-3.6082474226804218E-2</v>
      </c>
      <c r="H63" s="8" t="s">
        <v>10</v>
      </c>
      <c r="I63" s="2" t="s">
        <v>10</v>
      </c>
      <c r="J63" s="2" t="s">
        <v>10</v>
      </c>
      <c r="K63" s="2" t="s">
        <v>10</v>
      </c>
      <c r="L63" s="2" t="s">
        <v>10</v>
      </c>
      <c r="M63" s="2" t="s">
        <v>10</v>
      </c>
      <c r="N63" s="2" t="s">
        <v>10</v>
      </c>
      <c r="O63" s="2" t="s">
        <v>10</v>
      </c>
    </row>
    <row r="64" spans="1:15" x14ac:dyDescent="0.3">
      <c r="A64" s="2" t="s">
        <v>51</v>
      </c>
      <c r="B64" s="2" t="s">
        <v>25</v>
      </c>
      <c r="C64" s="2" t="s">
        <v>4</v>
      </c>
      <c r="D64" s="7">
        <v>44179</v>
      </c>
      <c r="E64" s="2">
        <v>0</v>
      </c>
      <c r="F64" s="2">
        <v>67.8</v>
      </c>
      <c r="G64" s="9">
        <v>2.9498525073746285E-2</v>
      </c>
      <c r="H64" s="8" t="s">
        <v>10</v>
      </c>
      <c r="I64" s="2" t="s">
        <v>10</v>
      </c>
      <c r="J64" s="2" t="s">
        <v>10</v>
      </c>
      <c r="K64" s="2" t="s">
        <v>10</v>
      </c>
      <c r="L64" s="2" t="s">
        <v>10</v>
      </c>
      <c r="M64" s="2" t="s">
        <v>10</v>
      </c>
      <c r="N64" s="2" t="s">
        <v>10</v>
      </c>
      <c r="O64" s="2" t="s">
        <v>10</v>
      </c>
    </row>
    <row r="65" spans="1:15" x14ac:dyDescent="0.3">
      <c r="A65" s="2" t="s">
        <v>52</v>
      </c>
      <c r="B65" s="2" t="s">
        <v>26</v>
      </c>
      <c r="C65" s="2" t="s">
        <v>4</v>
      </c>
      <c r="D65" s="7">
        <v>44179</v>
      </c>
      <c r="E65" s="2">
        <v>0</v>
      </c>
      <c r="F65" s="2">
        <v>49.599999999999994</v>
      </c>
      <c r="G65" s="9">
        <v>-1.2096774193548487E-2</v>
      </c>
      <c r="H65" s="8" t="s">
        <v>10</v>
      </c>
      <c r="I65" s="2" t="s">
        <v>10</v>
      </c>
      <c r="J65" s="2" t="s">
        <v>10</v>
      </c>
      <c r="K65" s="2" t="s">
        <v>10</v>
      </c>
      <c r="L65" s="2" t="s">
        <v>10</v>
      </c>
      <c r="M65" s="2" t="s">
        <v>10</v>
      </c>
      <c r="N65" s="2" t="s">
        <v>10</v>
      </c>
      <c r="O65" s="2" t="s">
        <v>10</v>
      </c>
    </row>
    <row r="66" spans="1:15" x14ac:dyDescent="0.3">
      <c r="A66" s="2" t="s">
        <v>52</v>
      </c>
      <c r="B66" s="2" t="s">
        <v>27</v>
      </c>
      <c r="C66" s="2" t="s">
        <v>5</v>
      </c>
      <c r="D66" s="7">
        <v>44179</v>
      </c>
      <c r="E66" s="2">
        <v>0</v>
      </c>
      <c r="F66" s="2">
        <v>54</v>
      </c>
      <c r="G66" s="9">
        <v>-7.4074074074075291E-3</v>
      </c>
      <c r="H66" s="8" t="s">
        <v>10</v>
      </c>
      <c r="I66" s="2" t="s">
        <v>10</v>
      </c>
      <c r="J66" s="2" t="s">
        <v>10</v>
      </c>
      <c r="K66" s="2" t="s">
        <v>10</v>
      </c>
      <c r="L66" s="2" t="s">
        <v>10</v>
      </c>
      <c r="M66" s="2" t="s">
        <v>10</v>
      </c>
      <c r="N66" s="2" t="s">
        <v>10</v>
      </c>
      <c r="O66" s="2" t="s">
        <v>10</v>
      </c>
    </row>
    <row r="67" spans="1:15" x14ac:dyDescent="0.3">
      <c r="A67" s="2" t="s">
        <v>52</v>
      </c>
      <c r="B67" s="2" t="s">
        <v>28</v>
      </c>
      <c r="C67" s="2" t="s">
        <v>5</v>
      </c>
      <c r="D67" s="7">
        <v>44179</v>
      </c>
      <c r="E67" s="2">
        <v>0</v>
      </c>
      <c r="F67" s="2">
        <v>71</v>
      </c>
      <c r="G67" s="9">
        <v>-8.7323943661971937E-2</v>
      </c>
      <c r="H67" s="8" t="s">
        <v>10</v>
      </c>
      <c r="I67" s="2" t="s">
        <v>10</v>
      </c>
      <c r="J67" s="2" t="s">
        <v>10</v>
      </c>
      <c r="K67" s="2" t="s">
        <v>10</v>
      </c>
      <c r="L67" s="2" t="s">
        <v>10</v>
      </c>
      <c r="M67" s="2" t="s">
        <v>10</v>
      </c>
      <c r="N67" s="2" t="s">
        <v>10</v>
      </c>
      <c r="O67" s="2" t="s">
        <v>10</v>
      </c>
    </row>
    <row r="68" spans="1:15" x14ac:dyDescent="0.3">
      <c r="A68" s="2" t="s">
        <v>53</v>
      </c>
      <c r="B68" s="2" t="s">
        <v>29</v>
      </c>
      <c r="C68" s="2" t="s">
        <v>4</v>
      </c>
      <c r="D68" s="7">
        <v>44179</v>
      </c>
      <c r="E68" s="2">
        <v>0</v>
      </c>
      <c r="F68" s="2">
        <v>53.8</v>
      </c>
      <c r="G68" s="9">
        <v>-4.8327137546468668E-2</v>
      </c>
      <c r="H68" s="8" t="s">
        <v>10</v>
      </c>
      <c r="I68" s="2" t="s">
        <v>10</v>
      </c>
      <c r="J68" s="2" t="s">
        <v>10</v>
      </c>
      <c r="K68" s="2" t="s">
        <v>10</v>
      </c>
      <c r="L68" s="2" t="s">
        <v>10</v>
      </c>
      <c r="M68" s="2" t="s">
        <v>10</v>
      </c>
      <c r="N68" s="2" t="s">
        <v>10</v>
      </c>
      <c r="O68" s="2" t="s">
        <v>10</v>
      </c>
    </row>
    <row r="69" spans="1:15" x14ac:dyDescent="0.3">
      <c r="A69" s="2" t="s">
        <v>53</v>
      </c>
      <c r="B69" s="2" t="s">
        <v>30</v>
      </c>
      <c r="C69" s="2" t="s">
        <v>5</v>
      </c>
      <c r="D69" s="7">
        <v>44179</v>
      </c>
      <c r="E69" s="2">
        <v>0</v>
      </c>
      <c r="F69" s="2">
        <v>59.2</v>
      </c>
      <c r="G69" s="9">
        <v>1.0135135135135309E-2</v>
      </c>
      <c r="H69" s="8" t="s">
        <v>10</v>
      </c>
      <c r="I69" s="2" t="s">
        <v>10</v>
      </c>
      <c r="J69" s="2" t="s">
        <v>10</v>
      </c>
      <c r="K69" s="2" t="s">
        <v>10</v>
      </c>
      <c r="L69" s="2" t="s">
        <v>10</v>
      </c>
      <c r="M69" s="2" t="s">
        <v>10</v>
      </c>
      <c r="N69" s="2" t="s">
        <v>10</v>
      </c>
      <c r="O69" s="2" t="s">
        <v>10</v>
      </c>
    </row>
    <row r="70" spans="1:15" x14ac:dyDescent="0.3">
      <c r="A70" s="2" t="s">
        <v>53</v>
      </c>
      <c r="B70" s="2" t="s">
        <v>31</v>
      </c>
      <c r="C70" s="2" t="s">
        <v>4</v>
      </c>
      <c r="D70" s="7">
        <v>44179</v>
      </c>
      <c r="E70" s="2">
        <v>0</v>
      </c>
      <c r="F70" s="2">
        <v>45.8</v>
      </c>
      <c r="G70" s="9">
        <v>-7.4235807860262071E-2</v>
      </c>
      <c r="H70" s="8" t="s">
        <v>10</v>
      </c>
      <c r="I70" s="2" t="s">
        <v>10</v>
      </c>
      <c r="J70" s="2" t="s">
        <v>10</v>
      </c>
      <c r="K70" s="2" t="s">
        <v>10</v>
      </c>
      <c r="L70" s="2" t="s">
        <v>10</v>
      </c>
      <c r="M70" s="2" t="s">
        <v>10</v>
      </c>
      <c r="N70" s="2" t="s">
        <v>10</v>
      </c>
      <c r="O70" s="2" t="s">
        <v>10</v>
      </c>
    </row>
    <row r="71" spans="1:15" x14ac:dyDescent="0.3">
      <c r="A71" s="2" t="s">
        <v>53</v>
      </c>
      <c r="B71" s="2" t="s">
        <v>32</v>
      </c>
      <c r="C71" s="2" t="s">
        <v>5</v>
      </c>
      <c r="D71" s="7">
        <v>44179</v>
      </c>
      <c r="E71" s="2">
        <v>0</v>
      </c>
      <c r="F71" s="2">
        <v>61.2</v>
      </c>
      <c r="G71" s="9">
        <v>-5.8823529411764719E-2</v>
      </c>
      <c r="H71" s="8" t="s">
        <v>10</v>
      </c>
      <c r="I71" s="2" t="s">
        <v>10</v>
      </c>
      <c r="J71" s="2" t="s">
        <v>10</v>
      </c>
      <c r="K71" s="2" t="s">
        <v>10</v>
      </c>
      <c r="L71" s="2" t="s">
        <v>10</v>
      </c>
      <c r="M71" s="2" t="s">
        <v>10</v>
      </c>
      <c r="N71" s="2" t="s">
        <v>10</v>
      </c>
      <c r="O71" s="2" t="s">
        <v>10</v>
      </c>
    </row>
    <row r="72" spans="1:15" x14ac:dyDescent="0.3">
      <c r="A72" s="2" t="s">
        <v>53</v>
      </c>
      <c r="B72" s="2" t="s">
        <v>33</v>
      </c>
      <c r="C72" s="2" t="s">
        <v>4</v>
      </c>
      <c r="D72" s="7">
        <v>44179</v>
      </c>
      <c r="E72" s="2">
        <v>0</v>
      </c>
      <c r="F72" s="2">
        <v>60.8</v>
      </c>
      <c r="G72" s="9">
        <v>-4.6052631578947345E-2</v>
      </c>
      <c r="H72" s="8" t="s">
        <v>10</v>
      </c>
      <c r="I72" s="2" t="s">
        <v>10</v>
      </c>
      <c r="J72" s="2" t="s">
        <v>10</v>
      </c>
      <c r="K72" s="2" t="s">
        <v>10</v>
      </c>
      <c r="L72" s="2" t="s">
        <v>10</v>
      </c>
      <c r="M72" s="2" t="s">
        <v>10</v>
      </c>
      <c r="N72" s="2" t="s">
        <v>10</v>
      </c>
      <c r="O72" s="2" t="s">
        <v>10</v>
      </c>
    </row>
    <row r="73" spans="1:15" x14ac:dyDescent="0.3">
      <c r="A73" s="2" t="s">
        <v>53</v>
      </c>
      <c r="B73" s="2" t="s">
        <v>34</v>
      </c>
      <c r="C73" s="2" t="s">
        <v>5</v>
      </c>
      <c r="D73" s="7">
        <v>44179</v>
      </c>
      <c r="E73" s="2">
        <v>0</v>
      </c>
      <c r="F73" s="2">
        <v>50.400000000000006</v>
      </c>
      <c r="G73" s="9">
        <v>-5.1587301587301404E-2</v>
      </c>
      <c r="H73" s="8" t="s">
        <v>10</v>
      </c>
      <c r="I73" s="2" t="s">
        <v>10</v>
      </c>
      <c r="J73" s="2" t="s">
        <v>10</v>
      </c>
      <c r="K73" s="2" t="s">
        <v>10</v>
      </c>
      <c r="L73" s="2" t="s">
        <v>10</v>
      </c>
      <c r="M73" s="2" t="s">
        <v>10</v>
      </c>
      <c r="N73" s="2" t="s">
        <v>10</v>
      </c>
      <c r="O73" s="2" t="s">
        <v>10</v>
      </c>
    </row>
    <row r="74" spans="1:15" x14ac:dyDescent="0.3">
      <c r="A74" s="2" t="s">
        <v>53</v>
      </c>
      <c r="B74" s="2" t="s">
        <v>35</v>
      </c>
      <c r="C74" s="2" t="s">
        <v>5</v>
      </c>
      <c r="D74" s="7">
        <v>44179</v>
      </c>
      <c r="E74" s="2">
        <v>0</v>
      </c>
      <c r="F74" s="2">
        <v>50.2</v>
      </c>
      <c r="G74" s="9">
        <v>-4.3824701195219085E-2</v>
      </c>
      <c r="H74" s="8" t="s">
        <v>10</v>
      </c>
      <c r="I74" s="2" t="s">
        <v>10</v>
      </c>
      <c r="J74" s="2" t="s">
        <v>10</v>
      </c>
      <c r="K74" s="2" t="s">
        <v>10</v>
      </c>
      <c r="L74" s="2" t="s">
        <v>10</v>
      </c>
      <c r="M74" s="2" t="s">
        <v>10</v>
      </c>
      <c r="N74" s="2" t="s">
        <v>10</v>
      </c>
      <c r="O74" s="2" t="s">
        <v>10</v>
      </c>
    </row>
    <row r="75" spans="1:15" x14ac:dyDescent="0.3">
      <c r="A75" s="2" t="s">
        <v>53</v>
      </c>
      <c r="B75" s="2" t="s">
        <v>36</v>
      </c>
      <c r="C75" s="2" t="s">
        <v>4</v>
      </c>
      <c r="D75" s="7">
        <v>44179</v>
      </c>
      <c r="E75" s="2">
        <v>0</v>
      </c>
      <c r="F75" s="2">
        <v>57.6</v>
      </c>
      <c r="G75" s="9">
        <v>-5.2083333333333259E-2</v>
      </c>
      <c r="H75" s="8" t="s">
        <v>10</v>
      </c>
      <c r="I75" s="2" t="s">
        <v>10</v>
      </c>
      <c r="J75" s="2" t="s">
        <v>10</v>
      </c>
      <c r="K75" s="2" t="s">
        <v>10</v>
      </c>
      <c r="L75" s="2" t="s">
        <v>10</v>
      </c>
      <c r="M75" s="2" t="s">
        <v>10</v>
      </c>
      <c r="N75" s="2" t="s">
        <v>10</v>
      </c>
      <c r="O75" s="2" t="s">
        <v>10</v>
      </c>
    </row>
    <row r="76" spans="1:15" x14ac:dyDescent="0.3">
      <c r="A76" s="2" t="s">
        <v>54</v>
      </c>
      <c r="B76" s="2" t="s">
        <v>37</v>
      </c>
      <c r="C76" s="2" t="s">
        <v>5</v>
      </c>
      <c r="D76" s="7">
        <v>44179</v>
      </c>
      <c r="E76" s="2">
        <v>0</v>
      </c>
      <c r="F76" s="2">
        <v>70</v>
      </c>
      <c r="G76" s="9">
        <v>-0.25142857142857133</v>
      </c>
      <c r="H76" s="8" t="s">
        <v>10</v>
      </c>
      <c r="I76" s="2" t="s">
        <v>10</v>
      </c>
      <c r="J76" s="2" t="s">
        <v>10</v>
      </c>
      <c r="K76" s="2" t="s">
        <v>10</v>
      </c>
      <c r="L76" s="2" t="s">
        <v>10</v>
      </c>
      <c r="M76" s="2" t="s">
        <v>10</v>
      </c>
      <c r="N76" s="2" t="s">
        <v>10</v>
      </c>
      <c r="O76" s="2" t="s">
        <v>10</v>
      </c>
    </row>
    <row r="77" spans="1:15" x14ac:dyDescent="0.3">
      <c r="A77" s="2" t="s">
        <v>54</v>
      </c>
      <c r="B77" s="2" t="s">
        <v>38</v>
      </c>
      <c r="C77" s="2" t="s">
        <v>4</v>
      </c>
      <c r="D77" s="7">
        <v>44179</v>
      </c>
      <c r="E77" s="2">
        <v>0</v>
      </c>
      <c r="F77" s="2">
        <v>68.800000000000011</v>
      </c>
      <c r="G77" s="9">
        <v>-0.125</v>
      </c>
      <c r="H77" s="8" t="s">
        <v>10</v>
      </c>
      <c r="I77" s="2" t="s">
        <v>10</v>
      </c>
      <c r="J77" s="2" t="s">
        <v>10</v>
      </c>
      <c r="K77" s="2" t="s">
        <v>10</v>
      </c>
      <c r="L77" s="2" t="s">
        <v>10</v>
      </c>
      <c r="M77" s="2" t="s">
        <v>10</v>
      </c>
      <c r="N77" s="2" t="s">
        <v>10</v>
      </c>
      <c r="O77" s="2" t="s">
        <v>10</v>
      </c>
    </row>
    <row r="78" spans="1:15" x14ac:dyDescent="0.3">
      <c r="A78" s="2" t="s">
        <v>54</v>
      </c>
      <c r="B78" s="2" t="s">
        <v>39</v>
      </c>
      <c r="C78" s="2" t="s">
        <v>5</v>
      </c>
      <c r="D78" s="7">
        <v>44179</v>
      </c>
      <c r="E78" s="2">
        <v>0</v>
      </c>
      <c r="F78" s="2">
        <v>66.199999999999989</v>
      </c>
      <c r="G78" s="9">
        <v>-3.9274924471299322E-2</v>
      </c>
      <c r="H78" s="8" t="s">
        <v>10</v>
      </c>
      <c r="I78" s="2" t="s">
        <v>10</v>
      </c>
      <c r="J78" s="2" t="s">
        <v>10</v>
      </c>
      <c r="K78" s="2" t="s">
        <v>10</v>
      </c>
      <c r="L78" s="2" t="s">
        <v>10</v>
      </c>
      <c r="M78" s="2" t="s">
        <v>10</v>
      </c>
      <c r="N78" s="2" t="s">
        <v>10</v>
      </c>
      <c r="O78" s="2" t="s">
        <v>10</v>
      </c>
    </row>
    <row r="79" spans="1:15" x14ac:dyDescent="0.3">
      <c r="A79" s="2" t="s">
        <v>55</v>
      </c>
      <c r="B79" s="2" t="s">
        <v>40</v>
      </c>
      <c r="C79" s="2" t="s">
        <v>4</v>
      </c>
      <c r="D79" s="7">
        <v>44179</v>
      </c>
      <c r="E79" s="2">
        <v>0</v>
      </c>
      <c r="F79" s="2">
        <v>66.400000000000006</v>
      </c>
      <c r="G79" s="9">
        <v>-8.13253012048194E-2</v>
      </c>
      <c r="H79" s="8" t="s">
        <v>10</v>
      </c>
      <c r="I79" s="2" t="s">
        <v>10</v>
      </c>
      <c r="J79" s="2" t="s">
        <v>10</v>
      </c>
      <c r="K79" s="2" t="s">
        <v>10</v>
      </c>
      <c r="L79" s="2" t="s">
        <v>10</v>
      </c>
      <c r="M79" s="2" t="s">
        <v>10</v>
      </c>
      <c r="N79" s="2" t="s">
        <v>10</v>
      </c>
      <c r="O79" s="2" t="s">
        <v>10</v>
      </c>
    </row>
    <row r="80" spans="1:15" x14ac:dyDescent="0.3">
      <c r="A80" s="2" t="s">
        <v>55</v>
      </c>
      <c r="B80" s="2" t="s">
        <v>41</v>
      </c>
      <c r="C80" s="2" t="s">
        <v>5</v>
      </c>
      <c r="D80" s="7">
        <v>44179</v>
      </c>
      <c r="E80" s="2">
        <v>0</v>
      </c>
      <c r="F80" s="2">
        <v>55.8</v>
      </c>
      <c r="G80" s="9">
        <v>-0.12544802867383509</v>
      </c>
      <c r="H80" s="8" t="s">
        <v>10</v>
      </c>
      <c r="I80" s="2" t="s">
        <v>10</v>
      </c>
      <c r="J80" s="2" t="s">
        <v>10</v>
      </c>
      <c r="K80" s="2" t="s">
        <v>10</v>
      </c>
      <c r="L80" s="2" t="s">
        <v>10</v>
      </c>
      <c r="M80" s="2" t="s">
        <v>10</v>
      </c>
      <c r="N80" s="2" t="s">
        <v>10</v>
      </c>
      <c r="O80" s="2" t="s">
        <v>10</v>
      </c>
    </row>
    <row r="81" spans="1:15" x14ac:dyDescent="0.3">
      <c r="A81" s="2" t="s">
        <v>55</v>
      </c>
      <c r="B81" s="2" t="s">
        <v>42</v>
      </c>
      <c r="C81" s="2" t="s">
        <v>5</v>
      </c>
      <c r="D81" s="7">
        <v>44179</v>
      </c>
      <c r="E81" s="2">
        <v>0</v>
      </c>
      <c r="F81" s="2">
        <v>63.400000000000006</v>
      </c>
      <c r="G81" s="9">
        <v>-5.3627760252365819E-2</v>
      </c>
      <c r="H81" s="8" t="s">
        <v>10</v>
      </c>
      <c r="I81" s="2" t="s">
        <v>10</v>
      </c>
      <c r="J81" s="2" t="s">
        <v>10</v>
      </c>
      <c r="K81" s="2" t="s">
        <v>10</v>
      </c>
      <c r="L81" s="2" t="s">
        <v>10</v>
      </c>
      <c r="M81" s="2" t="s">
        <v>10</v>
      </c>
      <c r="N81" s="2" t="s">
        <v>10</v>
      </c>
      <c r="O81" s="2" t="s">
        <v>10</v>
      </c>
    </row>
    <row r="82" spans="1:15" x14ac:dyDescent="0.3">
      <c r="A82" s="2" t="s">
        <v>55</v>
      </c>
      <c r="B82" s="2" t="s">
        <v>43</v>
      </c>
      <c r="C82" s="2" t="s">
        <v>4</v>
      </c>
      <c r="D82" s="7">
        <v>44179</v>
      </c>
      <c r="E82" s="2">
        <v>0</v>
      </c>
      <c r="F82" s="2">
        <v>62</v>
      </c>
      <c r="G82" s="9">
        <v>-0.13548387096774195</v>
      </c>
      <c r="H82" s="8" t="s">
        <v>10</v>
      </c>
      <c r="I82" s="2" t="s">
        <v>10</v>
      </c>
      <c r="J82" s="2" t="s">
        <v>10</v>
      </c>
      <c r="K82" s="2" t="s">
        <v>10</v>
      </c>
      <c r="L82" s="2" t="s">
        <v>10</v>
      </c>
      <c r="M82" s="2" t="s">
        <v>10</v>
      </c>
      <c r="N82" s="2" t="s">
        <v>10</v>
      </c>
      <c r="O82" s="2" t="s">
        <v>10</v>
      </c>
    </row>
    <row r="83" spans="1:15" x14ac:dyDescent="0.3">
      <c r="A83" s="2" t="s">
        <v>56</v>
      </c>
      <c r="B83" s="2" t="s">
        <v>44</v>
      </c>
      <c r="C83" s="2" t="s">
        <v>5</v>
      </c>
      <c r="D83" s="7">
        <v>44179</v>
      </c>
      <c r="E83" s="2">
        <v>0</v>
      </c>
      <c r="F83" s="2">
        <v>59.4</v>
      </c>
      <c r="G83" s="9">
        <v>-0.19865319865319853</v>
      </c>
      <c r="H83" s="8" t="s">
        <v>10</v>
      </c>
      <c r="I83" s="2" t="s">
        <v>10</v>
      </c>
      <c r="J83" s="2" t="s">
        <v>10</v>
      </c>
      <c r="K83" s="2" t="s">
        <v>10</v>
      </c>
      <c r="L83" s="2" t="s">
        <v>10</v>
      </c>
      <c r="M83" s="2" t="s">
        <v>10</v>
      </c>
      <c r="N83" s="2" t="s">
        <v>10</v>
      </c>
      <c r="O83" s="2" t="s">
        <v>10</v>
      </c>
    </row>
    <row r="84" spans="1:15" x14ac:dyDescent="0.3">
      <c r="A84" s="2" t="s">
        <v>56</v>
      </c>
      <c r="B84" s="2" t="s">
        <v>45</v>
      </c>
      <c r="C84" s="2" t="s">
        <v>4</v>
      </c>
      <c r="D84" s="7">
        <v>44179</v>
      </c>
      <c r="E84" s="2">
        <v>0</v>
      </c>
      <c r="F84" s="2">
        <v>69</v>
      </c>
      <c r="G84" s="9">
        <v>-0.27246376811594208</v>
      </c>
      <c r="H84" s="8" t="s">
        <v>10</v>
      </c>
      <c r="I84" s="2" t="s">
        <v>10</v>
      </c>
      <c r="J84" s="2" t="s">
        <v>10</v>
      </c>
      <c r="K84" s="2" t="s">
        <v>10</v>
      </c>
      <c r="L84" s="2" t="s">
        <v>10</v>
      </c>
      <c r="M84" s="2" t="s">
        <v>10</v>
      </c>
      <c r="N84" s="2" t="s">
        <v>10</v>
      </c>
      <c r="O84" s="2" t="s">
        <v>10</v>
      </c>
    </row>
    <row r="85" spans="1:15" x14ac:dyDescent="0.3">
      <c r="A85" s="2" t="s">
        <v>56</v>
      </c>
      <c r="B85" s="2" t="s">
        <v>46</v>
      </c>
      <c r="C85" s="2" t="s">
        <v>4</v>
      </c>
      <c r="D85" s="7">
        <v>44179</v>
      </c>
      <c r="E85" s="2">
        <v>0</v>
      </c>
      <c r="F85" s="2">
        <v>55.8</v>
      </c>
      <c r="G85" s="9">
        <v>-6.0931899641577081E-2</v>
      </c>
      <c r="H85" s="8" t="s">
        <v>10</v>
      </c>
      <c r="I85" s="2" t="s">
        <v>10</v>
      </c>
      <c r="J85" s="2" t="s">
        <v>10</v>
      </c>
      <c r="K85" s="2" t="s">
        <v>10</v>
      </c>
      <c r="L85" s="2" t="s">
        <v>10</v>
      </c>
      <c r="M85" s="2" t="s">
        <v>10</v>
      </c>
      <c r="N85" s="2" t="s">
        <v>10</v>
      </c>
      <c r="O85" s="2" t="s">
        <v>10</v>
      </c>
    </row>
    <row r="86" spans="1:15" x14ac:dyDescent="0.3">
      <c r="A86" s="2" t="s">
        <v>56</v>
      </c>
      <c r="B86" s="2" t="s">
        <v>47</v>
      </c>
      <c r="C86" s="2" t="s">
        <v>5</v>
      </c>
      <c r="D86" s="7">
        <v>44179</v>
      </c>
      <c r="E86" s="2">
        <v>0</v>
      </c>
      <c r="F86" s="2">
        <v>56.2</v>
      </c>
      <c r="G86" s="9">
        <v>-2.135231316725994E-2</v>
      </c>
      <c r="H86" s="8" t="s">
        <v>10</v>
      </c>
      <c r="I86" s="2" t="s">
        <v>10</v>
      </c>
      <c r="J86" s="2" t="s">
        <v>10</v>
      </c>
      <c r="K86" s="2" t="s">
        <v>10</v>
      </c>
      <c r="L86" s="2" t="s">
        <v>10</v>
      </c>
      <c r="M86" s="2" t="s">
        <v>10</v>
      </c>
      <c r="N86" s="2" t="s">
        <v>10</v>
      </c>
      <c r="O86" s="2" t="s">
        <v>10</v>
      </c>
    </row>
    <row r="87" spans="1:15" x14ac:dyDescent="0.3">
      <c r="A87" s="2" t="s">
        <v>56</v>
      </c>
      <c r="B87" s="2" t="s">
        <v>48</v>
      </c>
      <c r="C87" s="2" t="s">
        <v>4</v>
      </c>
      <c r="D87" s="7">
        <v>44179</v>
      </c>
      <c r="E87" s="2">
        <v>0</v>
      </c>
      <c r="F87" s="2">
        <v>49</v>
      </c>
      <c r="G87" s="9">
        <v>-0.22857142857142865</v>
      </c>
      <c r="H87" s="8" t="s">
        <v>10</v>
      </c>
      <c r="I87" s="2" t="s">
        <v>10</v>
      </c>
      <c r="J87" s="2" t="s">
        <v>10</v>
      </c>
      <c r="K87" s="2" t="s">
        <v>10</v>
      </c>
      <c r="L87" s="2" t="s">
        <v>10</v>
      </c>
      <c r="M87" s="2" t="s">
        <v>10</v>
      </c>
      <c r="N87" s="2" t="s">
        <v>10</v>
      </c>
      <c r="O87" s="2" t="s">
        <v>10</v>
      </c>
    </row>
    <row r="88" spans="1:15" x14ac:dyDescent="0.3">
      <c r="A88" s="2" t="s">
        <v>49</v>
      </c>
      <c r="B88" s="2" t="s">
        <v>3</v>
      </c>
      <c r="C88" s="2" t="s">
        <v>4</v>
      </c>
      <c r="D88" s="7">
        <v>44202</v>
      </c>
      <c r="E88" s="2">
        <v>0</v>
      </c>
      <c r="F88" s="2">
        <v>66.800000000000011</v>
      </c>
      <c r="G88" s="9">
        <v>5.3892215568862367E-2</v>
      </c>
      <c r="H88" s="8" t="s">
        <v>10</v>
      </c>
      <c r="I88" s="2" t="s">
        <v>10</v>
      </c>
      <c r="J88" s="2" t="s">
        <v>10</v>
      </c>
      <c r="K88" s="2" t="s">
        <v>10</v>
      </c>
      <c r="L88" s="2" t="s">
        <v>10</v>
      </c>
      <c r="M88" s="2" t="s">
        <v>10</v>
      </c>
      <c r="N88" s="2" t="s">
        <v>10</v>
      </c>
      <c r="O88" s="2" t="s">
        <v>10</v>
      </c>
    </row>
    <row r="89" spans="1:15" x14ac:dyDescent="0.3">
      <c r="A89" s="2" t="s">
        <v>49</v>
      </c>
      <c r="B89" s="2" t="s">
        <v>6</v>
      </c>
      <c r="C89" s="2" t="s">
        <v>5</v>
      </c>
      <c r="D89" s="7">
        <v>44202</v>
      </c>
      <c r="E89" s="2">
        <v>0</v>
      </c>
      <c r="F89" s="2">
        <v>56</v>
      </c>
      <c r="G89" s="9">
        <v>-3.5714285714285809E-2</v>
      </c>
      <c r="H89" s="8" t="s">
        <v>10</v>
      </c>
      <c r="I89" s="2" t="s">
        <v>10</v>
      </c>
      <c r="J89" s="2" t="s">
        <v>10</v>
      </c>
      <c r="K89" s="2" t="s">
        <v>10</v>
      </c>
      <c r="L89" s="2" t="s">
        <v>10</v>
      </c>
      <c r="M89" s="2" t="s">
        <v>10</v>
      </c>
      <c r="N89" s="2" t="s">
        <v>10</v>
      </c>
      <c r="O89" s="2" t="s">
        <v>10</v>
      </c>
    </row>
    <row r="90" spans="1:15" x14ac:dyDescent="0.3">
      <c r="A90" s="2" t="s">
        <v>49</v>
      </c>
      <c r="B90" s="2" t="s">
        <v>7</v>
      </c>
      <c r="C90" s="2" t="s">
        <v>4</v>
      </c>
      <c r="D90" s="7">
        <v>44202</v>
      </c>
      <c r="E90" s="2">
        <v>0</v>
      </c>
      <c r="F90" s="2">
        <v>49.4</v>
      </c>
      <c r="G90" s="9">
        <v>-0.12550607287449389</v>
      </c>
      <c r="H90" s="8" t="s">
        <v>10</v>
      </c>
      <c r="I90" s="2" t="s">
        <v>10</v>
      </c>
      <c r="J90" s="2" t="s">
        <v>10</v>
      </c>
      <c r="K90" s="2" t="s">
        <v>10</v>
      </c>
      <c r="L90" s="2" t="s">
        <v>10</v>
      </c>
      <c r="M90" s="2" t="s">
        <v>10</v>
      </c>
      <c r="N90" s="2" t="s">
        <v>10</v>
      </c>
      <c r="O90" s="2" t="s">
        <v>10</v>
      </c>
    </row>
    <row r="91" spans="1:15" x14ac:dyDescent="0.3">
      <c r="A91" s="2" t="s">
        <v>49</v>
      </c>
      <c r="B91" s="2" t="s">
        <v>8</v>
      </c>
      <c r="C91" s="2" t="s">
        <v>5</v>
      </c>
      <c r="D91" s="7">
        <v>44202</v>
      </c>
      <c r="E91" s="2">
        <v>0</v>
      </c>
      <c r="F91" s="2">
        <v>58.4</v>
      </c>
      <c r="G91" s="9">
        <v>-0.1130136986301371</v>
      </c>
      <c r="H91" s="8" t="s">
        <v>10</v>
      </c>
      <c r="I91" s="2" t="s">
        <v>10</v>
      </c>
      <c r="J91" s="2" t="s">
        <v>10</v>
      </c>
      <c r="K91" s="2" t="s">
        <v>10</v>
      </c>
      <c r="L91" s="2" t="s">
        <v>10</v>
      </c>
      <c r="M91" s="2" t="s">
        <v>10</v>
      </c>
      <c r="N91" s="2" t="s">
        <v>10</v>
      </c>
      <c r="O91" s="2" t="s">
        <v>10</v>
      </c>
    </row>
    <row r="92" spans="1:15" x14ac:dyDescent="0.3">
      <c r="A92" s="2" t="s">
        <v>50</v>
      </c>
      <c r="B92" s="2" t="s">
        <v>9</v>
      </c>
      <c r="C92" s="2" t="s">
        <v>4</v>
      </c>
      <c r="D92" s="7">
        <v>44202</v>
      </c>
      <c r="E92" s="2">
        <v>0</v>
      </c>
      <c r="F92" s="2">
        <v>52.8</v>
      </c>
      <c r="G92" s="9">
        <v>-0.13257575757575757</v>
      </c>
      <c r="H92" s="8" t="s">
        <v>10</v>
      </c>
      <c r="I92" s="2" t="s">
        <v>10</v>
      </c>
      <c r="J92" s="2" t="s">
        <v>10</v>
      </c>
      <c r="K92" s="2" t="s">
        <v>10</v>
      </c>
      <c r="L92" s="2" t="s">
        <v>10</v>
      </c>
      <c r="M92" s="2" t="s">
        <v>10</v>
      </c>
      <c r="N92" s="2" t="s">
        <v>10</v>
      </c>
      <c r="O92" s="2" t="s">
        <v>10</v>
      </c>
    </row>
    <row r="93" spans="1:15" x14ac:dyDescent="0.3">
      <c r="A93" s="2" t="s">
        <v>50</v>
      </c>
      <c r="B93" s="2" t="s">
        <v>11</v>
      </c>
      <c r="C93" s="2" t="s">
        <v>5</v>
      </c>
      <c r="D93" s="7">
        <v>44202</v>
      </c>
      <c r="E93" s="2">
        <v>0</v>
      </c>
      <c r="F93" s="2">
        <v>65.599999999999994</v>
      </c>
      <c r="G93" s="9">
        <v>-0.11890243902439046</v>
      </c>
      <c r="H93" s="8" t="s">
        <v>10</v>
      </c>
      <c r="I93" s="2" t="s">
        <v>10</v>
      </c>
      <c r="J93" s="2" t="s">
        <v>10</v>
      </c>
      <c r="K93" s="2" t="s">
        <v>10</v>
      </c>
      <c r="L93" s="2" t="s">
        <v>10</v>
      </c>
      <c r="M93" s="2" t="s">
        <v>10</v>
      </c>
      <c r="N93" s="2" t="s">
        <v>10</v>
      </c>
      <c r="O93" s="2" t="s">
        <v>10</v>
      </c>
    </row>
    <row r="94" spans="1:15" x14ac:dyDescent="0.3">
      <c r="A94" s="2" t="s">
        <v>50</v>
      </c>
      <c r="B94" s="2" t="s">
        <v>12</v>
      </c>
      <c r="C94" s="2" t="s">
        <v>5</v>
      </c>
      <c r="D94" s="7">
        <v>44202</v>
      </c>
      <c r="E94" s="2">
        <v>0</v>
      </c>
      <c r="F94" s="2">
        <v>61.4</v>
      </c>
      <c r="G94" s="9">
        <v>-0.12703583061889234</v>
      </c>
      <c r="H94" s="8" t="s">
        <v>10</v>
      </c>
      <c r="I94" s="2" t="s">
        <v>10</v>
      </c>
      <c r="J94" s="2" t="s">
        <v>10</v>
      </c>
      <c r="K94" s="2" t="s">
        <v>10</v>
      </c>
      <c r="L94" s="2" t="s">
        <v>10</v>
      </c>
      <c r="M94" s="2" t="s">
        <v>10</v>
      </c>
      <c r="N94" s="2" t="s">
        <v>10</v>
      </c>
      <c r="O94" s="2" t="s">
        <v>10</v>
      </c>
    </row>
    <row r="95" spans="1:15" x14ac:dyDescent="0.3">
      <c r="A95" s="2" t="s">
        <v>50</v>
      </c>
      <c r="B95" s="2" t="s">
        <v>13</v>
      </c>
      <c r="C95" s="2" t="s">
        <v>4</v>
      </c>
      <c r="D95" s="7">
        <v>44202</v>
      </c>
      <c r="E95" s="2">
        <v>0</v>
      </c>
      <c r="F95" s="2">
        <v>49</v>
      </c>
      <c r="G95" s="9">
        <v>-0.37551020408163271</v>
      </c>
      <c r="H95" s="8" t="s">
        <v>10</v>
      </c>
      <c r="I95" s="2" t="s">
        <v>10</v>
      </c>
      <c r="J95" s="2" t="s">
        <v>10</v>
      </c>
      <c r="K95" s="2" t="s">
        <v>10</v>
      </c>
      <c r="L95" s="2" t="s">
        <v>10</v>
      </c>
      <c r="M95" s="2" t="s">
        <v>10</v>
      </c>
      <c r="N95" s="2" t="s">
        <v>10</v>
      </c>
      <c r="O95" s="2" t="s">
        <v>10</v>
      </c>
    </row>
    <row r="96" spans="1:15" x14ac:dyDescent="0.3">
      <c r="A96" s="2" t="s">
        <v>50</v>
      </c>
      <c r="B96" s="2" t="s">
        <v>14</v>
      </c>
      <c r="C96" s="2" t="s">
        <v>4</v>
      </c>
      <c r="D96" s="7">
        <v>44202</v>
      </c>
      <c r="E96" s="2">
        <v>0</v>
      </c>
      <c r="F96" s="2">
        <v>49.4</v>
      </c>
      <c r="G96" s="9">
        <v>-0.17813765182186247</v>
      </c>
      <c r="H96" s="8" t="s">
        <v>10</v>
      </c>
      <c r="I96" s="2" t="s">
        <v>10</v>
      </c>
      <c r="J96" s="2" t="s">
        <v>10</v>
      </c>
      <c r="K96" s="2" t="s">
        <v>10</v>
      </c>
      <c r="L96" s="2" t="s">
        <v>10</v>
      </c>
      <c r="M96" s="2" t="s">
        <v>10</v>
      </c>
      <c r="N96" s="2" t="s">
        <v>10</v>
      </c>
      <c r="O96" s="2" t="s">
        <v>10</v>
      </c>
    </row>
    <row r="97" spans="1:15" x14ac:dyDescent="0.3">
      <c r="A97" s="2" t="s">
        <v>50</v>
      </c>
      <c r="B97" s="2" t="s">
        <v>15</v>
      </c>
      <c r="C97" s="2" t="s">
        <v>5</v>
      </c>
      <c r="D97" s="7">
        <v>44202</v>
      </c>
      <c r="E97" s="2">
        <v>0</v>
      </c>
      <c r="F97" s="2">
        <v>58</v>
      </c>
      <c r="G97" s="9">
        <v>-2.4137931034482696E-2</v>
      </c>
      <c r="H97" s="8" t="s">
        <v>10</v>
      </c>
      <c r="I97" s="2" t="s">
        <v>10</v>
      </c>
      <c r="J97" s="2" t="s">
        <v>10</v>
      </c>
      <c r="K97" s="2" t="s">
        <v>10</v>
      </c>
      <c r="L97" s="2" t="s">
        <v>10</v>
      </c>
      <c r="M97" s="2" t="s">
        <v>10</v>
      </c>
      <c r="N97" s="2" t="s">
        <v>10</v>
      </c>
      <c r="O97" s="2" t="s">
        <v>10</v>
      </c>
    </row>
    <row r="98" spans="1:15" x14ac:dyDescent="0.3">
      <c r="A98" s="2" t="s">
        <v>50</v>
      </c>
      <c r="B98" s="2" t="s">
        <v>16</v>
      </c>
      <c r="C98" s="2" t="s">
        <v>4</v>
      </c>
      <c r="D98" s="7">
        <v>44202</v>
      </c>
      <c r="E98" s="2">
        <v>0</v>
      </c>
      <c r="F98" s="2">
        <v>61.4</v>
      </c>
      <c r="G98" s="9">
        <v>-7.1661237785016318E-2</v>
      </c>
      <c r="H98" s="8" t="s">
        <v>10</v>
      </c>
      <c r="I98" s="2" t="s">
        <v>10</v>
      </c>
      <c r="J98" s="2" t="s">
        <v>10</v>
      </c>
      <c r="K98" s="2" t="s">
        <v>10</v>
      </c>
      <c r="L98" s="2" t="s">
        <v>10</v>
      </c>
      <c r="M98" s="2" t="s">
        <v>10</v>
      </c>
      <c r="N98" s="2" t="s">
        <v>10</v>
      </c>
      <c r="O98" s="2" t="s">
        <v>10</v>
      </c>
    </row>
    <row r="99" spans="1:15" x14ac:dyDescent="0.3">
      <c r="A99" s="2" t="s">
        <v>50</v>
      </c>
      <c r="B99" s="2" t="s">
        <v>17</v>
      </c>
      <c r="C99" s="2" t="s">
        <v>5</v>
      </c>
      <c r="D99" s="7">
        <v>44202</v>
      </c>
      <c r="E99" s="2">
        <v>0</v>
      </c>
      <c r="F99" s="2">
        <v>64</v>
      </c>
      <c r="G99" s="9">
        <v>5.0000000000000044E-2</v>
      </c>
      <c r="H99" s="8" t="s">
        <v>10</v>
      </c>
      <c r="I99" s="2" t="s">
        <v>10</v>
      </c>
      <c r="J99" s="2" t="s">
        <v>10</v>
      </c>
      <c r="K99" s="2" t="s">
        <v>10</v>
      </c>
      <c r="L99" s="2" t="s">
        <v>10</v>
      </c>
      <c r="M99" s="2" t="s">
        <v>10</v>
      </c>
      <c r="N99" s="2" t="s">
        <v>10</v>
      </c>
      <c r="O99" s="2" t="s">
        <v>10</v>
      </c>
    </row>
    <row r="100" spans="1:15" x14ac:dyDescent="0.3">
      <c r="A100" s="2" t="s">
        <v>50</v>
      </c>
      <c r="B100" s="2" t="s">
        <v>18</v>
      </c>
      <c r="C100" s="2" t="s">
        <v>4</v>
      </c>
      <c r="D100" s="7">
        <v>44202</v>
      </c>
      <c r="E100" s="2">
        <v>0</v>
      </c>
      <c r="F100" s="2">
        <v>47.400000000000006</v>
      </c>
      <c r="G100" s="9">
        <v>-0.10548523206751059</v>
      </c>
      <c r="H100" s="8" t="s">
        <v>10</v>
      </c>
      <c r="I100" s="2" t="s">
        <v>10</v>
      </c>
      <c r="J100" s="2" t="s">
        <v>10</v>
      </c>
      <c r="K100" s="2" t="s">
        <v>10</v>
      </c>
      <c r="L100" s="2" t="s">
        <v>10</v>
      </c>
      <c r="M100" s="2" t="s">
        <v>10</v>
      </c>
      <c r="N100" s="2" t="s">
        <v>10</v>
      </c>
      <c r="O100" s="2" t="s">
        <v>10</v>
      </c>
    </row>
    <row r="101" spans="1:15" x14ac:dyDescent="0.3">
      <c r="A101" s="2" t="s">
        <v>50</v>
      </c>
      <c r="B101" s="2" t="s">
        <v>19</v>
      </c>
      <c r="C101" s="2" t="s">
        <v>5</v>
      </c>
      <c r="D101" s="7">
        <v>44202</v>
      </c>
      <c r="E101" s="2">
        <v>0</v>
      </c>
      <c r="F101" s="2">
        <v>52.6</v>
      </c>
      <c r="G101" s="9">
        <v>-8.365019011406849E-2</v>
      </c>
      <c r="H101" s="8" t="s">
        <v>10</v>
      </c>
      <c r="I101" s="2" t="s">
        <v>10</v>
      </c>
      <c r="J101" s="2" t="s">
        <v>10</v>
      </c>
      <c r="K101" s="2" t="s">
        <v>10</v>
      </c>
      <c r="L101" s="2" t="s">
        <v>10</v>
      </c>
      <c r="M101" s="2" t="s">
        <v>10</v>
      </c>
      <c r="N101" s="2" t="s">
        <v>10</v>
      </c>
      <c r="O101" s="2" t="s">
        <v>10</v>
      </c>
    </row>
    <row r="102" spans="1:15" x14ac:dyDescent="0.3">
      <c r="A102" s="2" t="s">
        <v>51</v>
      </c>
      <c r="B102" s="2" t="s">
        <v>20</v>
      </c>
      <c r="C102" s="2" t="s">
        <v>4</v>
      </c>
      <c r="D102" s="7">
        <v>44202</v>
      </c>
      <c r="E102" s="2">
        <v>0</v>
      </c>
      <c r="F102" s="2">
        <v>53.8</v>
      </c>
      <c r="G102" s="9">
        <v>-0.10780669144981414</v>
      </c>
      <c r="H102" s="8" t="s">
        <v>10</v>
      </c>
      <c r="I102" s="2" t="s">
        <v>10</v>
      </c>
      <c r="J102" s="2" t="s">
        <v>10</v>
      </c>
      <c r="K102" s="2" t="s">
        <v>10</v>
      </c>
      <c r="L102" s="2" t="s">
        <v>10</v>
      </c>
      <c r="M102" s="2" t="s">
        <v>10</v>
      </c>
      <c r="N102" s="2" t="s">
        <v>10</v>
      </c>
      <c r="O102" s="2" t="s">
        <v>10</v>
      </c>
    </row>
    <row r="103" spans="1:15" x14ac:dyDescent="0.3">
      <c r="A103" s="2" t="s">
        <v>51</v>
      </c>
      <c r="B103" s="2" t="s">
        <v>21</v>
      </c>
      <c r="C103" s="2" t="s">
        <v>4</v>
      </c>
      <c r="D103" s="7">
        <v>44202</v>
      </c>
      <c r="E103" s="2">
        <v>0</v>
      </c>
      <c r="F103" s="2">
        <v>54.599999999999994</v>
      </c>
      <c r="G103" s="9">
        <v>-6.2271062271062272E-2</v>
      </c>
      <c r="H103" s="8" t="s">
        <v>10</v>
      </c>
      <c r="I103" s="2" t="s">
        <v>10</v>
      </c>
      <c r="J103" s="2" t="s">
        <v>10</v>
      </c>
      <c r="K103" s="2" t="s">
        <v>10</v>
      </c>
      <c r="L103" s="2" t="s">
        <v>10</v>
      </c>
      <c r="M103" s="2" t="s">
        <v>10</v>
      </c>
      <c r="N103" s="2" t="s">
        <v>10</v>
      </c>
      <c r="O103" s="2" t="s">
        <v>10</v>
      </c>
    </row>
    <row r="104" spans="1:15" x14ac:dyDescent="0.3">
      <c r="A104" s="2" t="s">
        <v>51</v>
      </c>
      <c r="B104" s="2" t="s">
        <v>22</v>
      </c>
      <c r="C104" s="2" t="s">
        <v>5</v>
      </c>
      <c r="D104" s="7">
        <v>44202</v>
      </c>
      <c r="E104" s="2">
        <v>0</v>
      </c>
      <c r="F104" s="2">
        <v>63.599999999999994</v>
      </c>
      <c r="G104" s="9">
        <v>-7.5471698113207752E-2</v>
      </c>
      <c r="H104" s="8" t="s">
        <v>10</v>
      </c>
      <c r="I104" s="2" t="s">
        <v>10</v>
      </c>
      <c r="J104" s="2" t="s">
        <v>10</v>
      </c>
      <c r="K104" s="2" t="s">
        <v>10</v>
      </c>
      <c r="L104" s="2" t="s">
        <v>10</v>
      </c>
      <c r="M104" s="2" t="s">
        <v>10</v>
      </c>
      <c r="N104" s="2" t="s">
        <v>10</v>
      </c>
      <c r="O104" s="2" t="s">
        <v>10</v>
      </c>
    </row>
    <row r="105" spans="1:15" x14ac:dyDescent="0.3">
      <c r="A105" s="2" t="s">
        <v>51</v>
      </c>
      <c r="B105" s="2" t="s">
        <v>23</v>
      </c>
      <c r="C105" s="2" t="s">
        <v>4</v>
      </c>
      <c r="D105" s="7">
        <v>44202</v>
      </c>
      <c r="E105" s="2">
        <v>0</v>
      </c>
      <c r="F105" s="2">
        <v>46.400000000000006</v>
      </c>
      <c r="G105" s="9">
        <v>-1.7241379310344751E-2</v>
      </c>
      <c r="H105" s="8" t="s">
        <v>10</v>
      </c>
      <c r="I105" s="2" t="s">
        <v>10</v>
      </c>
      <c r="J105" s="2" t="s">
        <v>10</v>
      </c>
      <c r="K105" s="2" t="s">
        <v>10</v>
      </c>
      <c r="L105" s="2" t="s">
        <v>10</v>
      </c>
      <c r="M105" s="2" t="s">
        <v>10</v>
      </c>
      <c r="N105" s="2" t="s">
        <v>10</v>
      </c>
      <c r="O105" s="2" t="s">
        <v>10</v>
      </c>
    </row>
    <row r="106" spans="1:15" x14ac:dyDescent="0.3">
      <c r="A106" s="2" t="s">
        <v>51</v>
      </c>
      <c r="B106" s="2" t="s">
        <v>24</v>
      </c>
      <c r="C106" s="2" t="s">
        <v>5</v>
      </c>
      <c r="D106" s="7">
        <v>44202</v>
      </c>
      <c r="E106" s="2">
        <v>0</v>
      </c>
      <c r="F106" s="2">
        <v>73.599999999999994</v>
      </c>
      <c r="G106" s="9">
        <v>-9.2391304347826164E-2</v>
      </c>
      <c r="H106" s="8" t="s">
        <v>10</v>
      </c>
      <c r="I106" s="2" t="s">
        <v>10</v>
      </c>
      <c r="J106" s="2" t="s">
        <v>10</v>
      </c>
      <c r="K106" s="2" t="s">
        <v>10</v>
      </c>
      <c r="L106" s="2" t="s">
        <v>10</v>
      </c>
      <c r="M106" s="2" t="s">
        <v>10</v>
      </c>
      <c r="N106" s="2" t="s">
        <v>10</v>
      </c>
      <c r="O106" s="2" t="s">
        <v>10</v>
      </c>
    </row>
    <row r="107" spans="1:15" x14ac:dyDescent="0.3">
      <c r="A107" s="2" t="s">
        <v>51</v>
      </c>
      <c r="B107" s="2" t="s">
        <v>25</v>
      </c>
      <c r="C107" s="2" t="s">
        <v>4</v>
      </c>
      <c r="D107" s="7">
        <v>44202</v>
      </c>
      <c r="E107" s="2">
        <v>0</v>
      </c>
      <c r="F107" s="2">
        <v>59.8</v>
      </c>
      <c r="G107" s="9">
        <v>-0.10033444816053505</v>
      </c>
      <c r="H107" s="8" t="s">
        <v>10</v>
      </c>
      <c r="I107" s="2" t="s">
        <v>10</v>
      </c>
      <c r="J107" s="2" t="s">
        <v>10</v>
      </c>
      <c r="K107" s="2" t="s">
        <v>10</v>
      </c>
      <c r="L107" s="2" t="s">
        <v>10</v>
      </c>
      <c r="M107" s="2" t="s">
        <v>10</v>
      </c>
      <c r="N107" s="2" t="s">
        <v>10</v>
      </c>
      <c r="O107" s="2" t="s">
        <v>10</v>
      </c>
    </row>
    <row r="108" spans="1:15" x14ac:dyDescent="0.3">
      <c r="A108" s="2" t="s">
        <v>52</v>
      </c>
      <c r="B108" s="2" t="s">
        <v>26</v>
      </c>
      <c r="C108" s="2" t="s">
        <v>4</v>
      </c>
      <c r="D108" s="7">
        <v>44202</v>
      </c>
      <c r="E108" s="2">
        <v>0</v>
      </c>
      <c r="F108" s="2">
        <v>50.8</v>
      </c>
      <c r="G108" s="9">
        <v>1.1811023622047112E-2</v>
      </c>
      <c r="H108" s="8" t="s">
        <v>10</v>
      </c>
      <c r="I108" s="2" t="s">
        <v>10</v>
      </c>
      <c r="J108" s="2" t="s">
        <v>10</v>
      </c>
      <c r="K108" s="2" t="s">
        <v>10</v>
      </c>
      <c r="L108" s="2" t="s">
        <v>10</v>
      </c>
      <c r="M108" s="2" t="s">
        <v>10</v>
      </c>
      <c r="N108" s="2" t="s">
        <v>10</v>
      </c>
      <c r="O108" s="2" t="s">
        <v>10</v>
      </c>
    </row>
    <row r="109" spans="1:15" x14ac:dyDescent="0.3">
      <c r="A109" s="2" t="s">
        <v>52</v>
      </c>
      <c r="B109" s="2" t="s">
        <v>27</v>
      </c>
      <c r="C109" s="2" t="s">
        <v>5</v>
      </c>
      <c r="D109" s="7">
        <v>44202</v>
      </c>
      <c r="E109" s="2">
        <v>0</v>
      </c>
      <c r="F109" s="2">
        <v>52.599999999999994</v>
      </c>
      <c r="G109" s="9">
        <v>-3.4220532319391817E-2</v>
      </c>
      <c r="H109" s="8" t="s">
        <v>10</v>
      </c>
      <c r="I109" s="2" t="s">
        <v>10</v>
      </c>
      <c r="J109" s="2" t="s">
        <v>10</v>
      </c>
      <c r="K109" s="2" t="s">
        <v>10</v>
      </c>
      <c r="L109" s="2" t="s">
        <v>10</v>
      </c>
      <c r="M109" s="2" t="s">
        <v>10</v>
      </c>
      <c r="N109" s="2" t="s">
        <v>10</v>
      </c>
      <c r="O109" s="2" t="s">
        <v>10</v>
      </c>
    </row>
    <row r="110" spans="1:15" x14ac:dyDescent="0.3">
      <c r="A110" s="2" t="s">
        <v>52</v>
      </c>
      <c r="B110" s="2" t="s">
        <v>28</v>
      </c>
      <c r="C110" s="2" t="s">
        <v>5</v>
      </c>
      <c r="D110" s="7">
        <v>44202</v>
      </c>
      <c r="E110" s="2">
        <v>0</v>
      </c>
      <c r="F110" s="2">
        <v>65.400000000000006</v>
      </c>
      <c r="G110" s="9">
        <v>-0.1804281345565748</v>
      </c>
      <c r="H110" s="8" t="s">
        <v>10</v>
      </c>
      <c r="I110" s="2" t="s">
        <v>10</v>
      </c>
      <c r="J110" s="2" t="s">
        <v>10</v>
      </c>
      <c r="K110" s="2" t="s">
        <v>10</v>
      </c>
      <c r="L110" s="2" t="s">
        <v>10</v>
      </c>
      <c r="M110" s="2" t="s">
        <v>10</v>
      </c>
      <c r="N110" s="2" t="s">
        <v>10</v>
      </c>
      <c r="O110" s="2" t="s">
        <v>10</v>
      </c>
    </row>
    <row r="111" spans="1:15" x14ac:dyDescent="0.3">
      <c r="A111" s="2" t="s">
        <v>53</v>
      </c>
      <c r="B111" s="2" t="s">
        <v>29</v>
      </c>
      <c r="C111" s="2" t="s">
        <v>4</v>
      </c>
      <c r="D111" s="7">
        <v>44202</v>
      </c>
      <c r="E111" s="2">
        <v>0</v>
      </c>
      <c r="F111" s="2">
        <v>53.6</v>
      </c>
      <c r="G111" s="9">
        <v>-5.2238805970149294E-2</v>
      </c>
      <c r="H111" s="8" t="s">
        <v>10</v>
      </c>
      <c r="I111" s="2" t="s">
        <v>10</v>
      </c>
      <c r="J111" s="2" t="s">
        <v>10</v>
      </c>
      <c r="K111" s="2" t="s">
        <v>10</v>
      </c>
      <c r="L111" s="2" t="s">
        <v>10</v>
      </c>
      <c r="M111" s="2" t="s">
        <v>10</v>
      </c>
      <c r="N111" s="2" t="s">
        <v>10</v>
      </c>
      <c r="O111" s="2" t="s">
        <v>10</v>
      </c>
    </row>
    <row r="112" spans="1:15" x14ac:dyDescent="0.3">
      <c r="A112" s="2" t="s">
        <v>53</v>
      </c>
      <c r="B112" s="2" t="s">
        <v>30</v>
      </c>
      <c r="C112" s="2" t="s">
        <v>5</v>
      </c>
      <c r="D112" s="7">
        <v>44202</v>
      </c>
      <c r="E112" s="2">
        <v>0</v>
      </c>
      <c r="F112" s="2">
        <v>57</v>
      </c>
      <c r="G112" s="9">
        <v>-2.8070175438596356E-2</v>
      </c>
      <c r="H112" s="8" t="s">
        <v>10</v>
      </c>
      <c r="I112" s="2" t="s">
        <v>10</v>
      </c>
      <c r="J112" s="2" t="s">
        <v>10</v>
      </c>
      <c r="K112" s="2" t="s">
        <v>10</v>
      </c>
      <c r="L112" s="2" t="s">
        <v>10</v>
      </c>
      <c r="M112" s="2" t="s">
        <v>10</v>
      </c>
      <c r="N112" s="2" t="s">
        <v>10</v>
      </c>
      <c r="O112" s="2" t="s">
        <v>10</v>
      </c>
    </row>
    <row r="113" spans="1:15" x14ac:dyDescent="0.3">
      <c r="A113" s="2" t="s">
        <v>53</v>
      </c>
      <c r="B113" s="2" t="s">
        <v>31</v>
      </c>
      <c r="C113" s="2" t="s">
        <v>4</v>
      </c>
      <c r="D113" s="7">
        <v>44202</v>
      </c>
      <c r="E113" s="2">
        <v>0</v>
      </c>
      <c r="F113" s="2">
        <v>45</v>
      </c>
      <c r="G113" s="9">
        <v>-9.333333333333349E-2</v>
      </c>
      <c r="H113" s="8" t="s">
        <v>10</v>
      </c>
      <c r="I113" s="2" t="s">
        <v>10</v>
      </c>
      <c r="J113" s="2" t="s">
        <v>10</v>
      </c>
      <c r="K113" s="2" t="s">
        <v>10</v>
      </c>
      <c r="L113" s="2" t="s">
        <v>10</v>
      </c>
      <c r="M113" s="2" t="s">
        <v>10</v>
      </c>
      <c r="N113" s="2" t="s">
        <v>10</v>
      </c>
      <c r="O113" s="2" t="s">
        <v>10</v>
      </c>
    </row>
    <row r="114" spans="1:15" x14ac:dyDescent="0.3">
      <c r="A114" s="2" t="s">
        <v>53</v>
      </c>
      <c r="B114" s="2" t="s">
        <v>32</v>
      </c>
      <c r="C114" s="2" t="s">
        <v>5</v>
      </c>
      <c r="D114" s="7">
        <v>44202</v>
      </c>
      <c r="E114" s="2">
        <v>0</v>
      </c>
      <c r="F114" s="2">
        <v>55</v>
      </c>
      <c r="G114" s="9">
        <v>-0.17818181818181822</v>
      </c>
      <c r="H114" s="8" t="s">
        <v>10</v>
      </c>
      <c r="I114" s="2" t="s">
        <v>10</v>
      </c>
      <c r="J114" s="2" t="s">
        <v>10</v>
      </c>
      <c r="K114" s="2" t="s">
        <v>10</v>
      </c>
      <c r="L114" s="2" t="s">
        <v>10</v>
      </c>
      <c r="M114" s="2" t="s">
        <v>10</v>
      </c>
      <c r="N114" s="2" t="s">
        <v>10</v>
      </c>
      <c r="O114" s="2" t="s">
        <v>10</v>
      </c>
    </row>
    <row r="115" spans="1:15" x14ac:dyDescent="0.3">
      <c r="A115" s="2" t="s">
        <v>53</v>
      </c>
      <c r="B115" s="2" t="s">
        <v>33</v>
      </c>
      <c r="C115" s="2" t="s">
        <v>4</v>
      </c>
      <c r="D115" s="7">
        <v>44202</v>
      </c>
      <c r="E115" s="2">
        <v>0</v>
      </c>
      <c r="F115" s="2">
        <v>57.599999999999994</v>
      </c>
      <c r="G115" s="9">
        <v>-0.10416666666666674</v>
      </c>
      <c r="H115" s="8" t="s">
        <v>10</v>
      </c>
      <c r="I115" s="2" t="s">
        <v>10</v>
      </c>
      <c r="J115" s="2" t="s">
        <v>10</v>
      </c>
      <c r="K115" s="2" t="s">
        <v>10</v>
      </c>
      <c r="L115" s="2" t="s">
        <v>10</v>
      </c>
      <c r="M115" s="2" t="s">
        <v>10</v>
      </c>
      <c r="N115" s="2" t="s">
        <v>10</v>
      </c>
      <c r="O115" s="2" t="s">
        <v>10</v>
      </c>
    </row>
    <row r="116" spans="1:15" x14ac:dyDescent="0.3">
      <c r="A116" s="2" t="s">
        <v>53</v>
      </c>
      <c r="B116" s="2" t="s">
        <v>34</v>
      </c>
      <c r="C116" s="2" t="s">
        <v>5</v>
      </c>
      <c r="D116" s="7">
        <v>44202</v>
      </c>
      <c r="E116" s="2">
        <v>0</v>
      </c>
      <c r="F116" s="2">
        <v>44.6</v>
      </c>
      <c r="G116" s="9">
        <v>-0.18834080717488777</v>
      </c>
      <c r="H116" s="8" t="s">
        <v>10</v>
      </c>
      <c r="I116" s="2" t="s">
        <v>10</v>
      </c>
      <c r="J116" s="2" t="s">
        <v>10</v>
      </c>
      <c r="K116" s="2" t="s">
        <v>10</v>
      </c>
      <c r="L116" s="2" t="s">
        <v>10</v>
      </c>
      <c r="M116" s="2" t="s">
        <v>10</v>
      </c>
      <c r="N116" s="2" t="s">
        <v>10</v>
      </c>
      <c r="O116" s="2" t="s">
        <v>10</v>
      </c>
    </row>
    <row r="117" spans="1:15" x14ac:dyDescent="0.3">
      <c r="A117" s="2" t="s">
        <v>53</v>
      </c>
      <c r="B117" s="2" t="s">
        <v>35</v>
      </c>
      <c r="C117" s="2" t="s">
        <v>5</v>
      </c>
      <c r="D117" s="7">
        <v>44202</v>
      </c>
      <c r="E117" s="2">
        <v>0</v>
      </c>
      <c r="F117" s="2">
        <v>49.8</v>
      </c>
      <c r="G117" s="9">
        <v>-5.2208835341365445E-2</v>
      </c>
      <c r="H117" s="8" t="s">
        <v>10</v>
      </c>
      <c r="I117" s="2" t="s">
        <v>10</v>
      </c>
      <c r="J117" s="2" t="s">
        <v>10</v>
      </c>
      <c r="K117" s="2" t="s">
        <v>10</v>
      </c>
      <c r="L117" s="2" t="s">
        <v>10</v>
      </c>
      <c r="M117" s="2" t="s">
        <v>10</v>
      </c>
      <c r="N117" s="2" t="s">
        <v>10</v>
      </c>
      <c r="O117" s="2" t="s">
        <v>10</v>
      </c>
    </row>
    <row r="118" spans="1:15" x14ac:dyDescent="0.3">
      <c r="A118" s="2" t="s">
        <v>53</v>
      </c>
      <c r="B118" s="2" t="s">
        <v>36</v>
      </c>
      <c r="C118" s="2" t="s">
        <v>4</v>
      </c>
      <c r="D118" s="7">
        <v>44202</v>
      </c>
      <c r="E118" s="2">
        <v>0</v>
      </c>
      <c r="F118" s="2">
        <v>55.4</v>
      </c>
      <c r="G118" s="9">
        <v>-9.3862815884476536E-2</v>
      </c>
      <c r="H118" s="8" t="s">
        <v>10</v>
      </c>
      <c r="I118" s="2" t="s">
        <v>10</v>
      </c>
      <c r="J118" s="2" t="s">
        <v>10</v>
      </c>
      <c r="K118" s="2" t="s">
        <v>10</v>
      </c>
      <c r="L118" s="2" t="s">
        <v>10</v>
      </c>
      <c r="M118" s="2" t="s">
        <v>10</v>
      </c>
      <c r="N118" s="2" t="s">
        <v>10</v>
      </c>
      <c r="O118" s="2" t="s">
        <v>10</v>
      </c>
    </row>
    <row r="119" spans="1:15" x14ac:dyDescent="0.3">
      <c r="A119" s="2" t="s">
        <v>54</v>
      </c>
      <c r="B119" s="2" t="s">
        <v>37</v>
      </c>
      <c r="C119" s="2" t="s">
        <v>5</v>
      </c>
      <c r="D119" s="7">
        <v>44202</v>
      </c>
      <c r="E119" s="2">
        <v>0</v>
      </c>
      <c r="F119" s="2">
        <v>68</v>
      </c>
      <c r="G119" s="9">
        <v>-0.28823529411764692</v>
      </c>
      <c r="H119" s="8" t="s">
        <v>10</v>
      </c>
      <c r="I119" s="2" t="s">
        <v>10</v>
      </c>
      <c r="J119" s="2" t="s">
        <v>10</v>
      </c>
      <c r="K119" s="2" t="s">
        <v>10</v>
      </c>
      <c r="L119" s="2" t="s">
        <v>10</v>
      </c>
      <c r="M119" s="2" t="s">
        <v>10</v>
      </c>
      <c r="N119" s="2" t="s">
        <v>10</v>
      </c>
      <c r="O119" s="2" t="s">
        <v>10</v>
      </c>
    </row>
    <row r="120" spans="1:15" x14ac:dyDescent="0.3">
      <c r="A120" s="2" t="s">
        <v>54</v>
      </c>
      <c r="B120" s="2" t="s">
        <v>38</v>
      </c>
      <c r="C120" s="2" t="s">
        <v>4</v>
      </c>
      <c r="D120" s="7">
        <v>44202</v>
      </c>
      <c r="E120" s="2">
        <v>0</v>
      </c>
      <c r="F120" s="2">
        <v>69</v>
      </c>
      <c r="G120" s="9">
        <v>-0.12173913043478279</v>
      </c>
      <c r="H120" s="8" t="s">
        <v>10</v>
      </c>
      <c r="I120" s="2" t="s">
        <v>10</v>
      </c>
      <c r="J120" s="2" t="s">
        <v>10</v>
      </c>
      <c r="K120" s="2" t="s">
        <v>10</v>
      </c>
      <c r="L120" s="2" t="s">
        <v>10</v>
      </c>
      <c r="M120" s="2" t="s">
        <v>10</v>
      </c>
      <c r="N120" s="2" t="s">
        <v>10</v>
      </c>
      <c r="O120" s="2" t="s">
        <v>10</v>
      </c>
    </row>
    <row r="121" spans="1:15" x14ac:dyDescent="0.3">
      <c r="A121" s="2" t="s">
        <v>54</v>
      </c>
      <c r="B121" s="2" t="s">
        <v>39</v>
      </c>
      <c r="C121" s="2" t="s">
        <v>5</v>
      </c>
      <c r="D121" s="7">
        <v>44202</v>
      </c>
      <c r="E121" s="2">
        <v>0</v>
      </c>
      <c r="F121" s="2">
        <v>62.2</v>
      </c>
      <c r="G121" s="9">
        <v>-0.10610932475884227</v>
      </c>
      <c r="H121" s="8" t="s">
        <v>10</v>
      </c>
      <c r="I121" s="2" t="s">
        <v>10</v>
      </c>
      <c r="J121" s="2" t="s">
        <v>10</v>
      </c>
      <c r="K121" s="2" t="s">
        <v>10</v>
      </c>
      <c r="L121" s="2" t="s">
        <v>10</v>
      </c>
      <c r="M121" s="2" t="s">
        <v>10</v>
      </c>
      <c r="N121" s="2" t="s">
        <v>10</v>
      </c>
      <c r="O121" s="2" t="s">
        <v>10</v>
      </c>
    </row>
    <row r="122" spans="1:15" x14ac:dyDescent="0.3">
      <c r="A122" s="2" t="s">
        <v>55</v>
      </c>
      <c r="B122" s="2" t="s">
        <v>40</v>
      </c>
      <c r="C122" s="2" t="s">
        <v>4</v>
      </c>
      <c r="D122" s="7">
        <v>44202</v>
      </c>
      <c r="E122" s="2">
        <v>0</v>
      </c>
      <c r="F122" s="2">
        <v>65.8</v>
      </c>
      <c r="G122" s="9">
        <v>-9.1185410334346795E-2</v>
      </c>
      <c r="H122" s="8" t="s">
        <v>10</v>
      </c>
      <c r="I122" s="2" t="s">
        <v>10</v>
      </c>
      <c r="J122" s="2" t="s">
        <v>10</v>
      </c>
      <c r="K122" s="2" t="s">
        <v>10</v>
      </c>
      <c r="L122" s="2" t="s">
        <v>10</v>
      </c>
      <c r="M122" s="2" t="s">
        <v>10</v>
      </c>
      <c r="N122" s="2" t="s">
        <v>10</v>
      </c>
      <c r="O122" s="2" t="s">
        <v>10</v>
      </c>
    </row>
    <row r="123" spans="1:15" x14ac:dyDescent="0.3">
      <c r="A123" s="2" t="s">
        <v>55</v>
      </c>
      <c r="B123" s="2" t="s">
        <v>41</v>
      </c>
      <c r="C123" s="2" t="s">
        <v>5</v>
      </c>
      <c r="D123" s="7">
        <v>44202</v>
      </c>
      <c r="E123" s="2">
        <v>0</v>
      </c>
      <c r="F123" s="2">
        <v>52.8</v>
      </c>
      <c r="G123" s="9">
        <v>-0.18939393939393945</v>
      </c>
      <c r="H123" s="8" t="s">
        <v>10</v>
      </c>
      <c r="I123" s="2" t="s">
        <v>10</v>
      </c>
      <c r="J123" s="2" t="s">
        <v>10</v>
      </c>
      <c r="K123" s="2" t="s">
        <v>10</v>
      </c>
      <c r="L123" s="2" t="s">
        <v>10</v>
      </c>
      <c r="M123" s="2" t="s">
        <v>10</v>
      </c>
      <c r="N123" s="2" t="s">
        <v>10</v>
      </c>
      <c r="O123" s="2" t="s">
        <v>10</v>
      </c>
    </row>
    <row r="124" spans="1:15" x14ac:dyDescent="0.3">
      <c r="A124" s="2" t="s">
        <v>55</v>
      </c>
      <c r="B124" s="2" t="s">
        <v>42</v>
      </c>
      <c r="C124" s="2" t="s">
        <v>5</v>
      </c>
      <c r="D124" s="7">
        <v>44202</v>
      </c>
      <c r="E124" s="2">
        <v>0</v>
      </c>
      <c r="F124" s="2">
        <v>60.6</v>
      </c>
      <c r="G124" s="9">
        <v>-0.10231023102310233</v>
      </c>
      <c r="H124" s="8" t="s">
        <v>10</v>
      </c>
      <c r="I124" s="2" t="s">
        <v>10</v>
      </c>
      <c r="J124" s="2" t="s">
        <v>10</v>
      </c>
      <c r="K124" s="2" t="s">
        <v>10</v>
      </c>
      <c r="L124" s="2" t="s">
        <v>10</v>
      </c>
      <c r="M124" s="2" t="s">
        <v>10</v>
      </c>
      <c r="N124" s="2" t="s">
        <v>10</v>
      </c>
      <c r="O124" s="2" t="s">
        <v>10</v>
      </c>
    </row>
    <row r="125" spans="1:15" x14ac:dyDescent="0.3">
      <c r="A125" s="2" t="s">
        <v>55</v>
      </c>
      <c r="B125" s="2" t="s">
        <v>43</v>
      </c>
      <c r="C125" s="2" t="s">
        <v>4</v>
      </c>
      <c r="D125" s="7">
        <v>44202</v>
      </c>
      <c r="E125" s="2">
        <v>0</v>
      </c>
      <c r="F125" s="2">
        <v>59.6</v>
      </c>
      <c r="G125" s="9">
        <v>-0.18120805369127524</v>
      </c>
      <c r="H125" s="8" t="s">
        <v>10</v>
      </c>
      <c r="I125" s="2" t="s">
        <v>10</v>
      </c>
      <c r="J125" s="2" t="s">
        <v>10</v>
      </c>
      <c r="K125" s="2" t="s">
        <v>10</v>
      </c>
      <c r="L125" s="2" t="s">
        <v>10</v>
      </c>
      <c r="M125" s="2" t="s">
        <v>10</v>
      </c>
      <c r="N125" s="2" t="s">
        <v>10</v>
      </c>
      <c r="O125" s="2" t="s">
        <v>10</v>
      </c>
    </row>
    <row r="126" spans="1:15" x14ac:dyDescent="0.3">
      <c r="A126" s="2" t="s">
        <v>56</v>
      </c>
      <c r="B126" s="2" t="s">
        <v>44</v>
      </c>
      <c r="C126" s="2" t="s">
        <v>5</v>
      </c>
      <c r="D126" s="7">
        <v>44202</v>
      </c>
      <c r="E126" s="2">
        <v>0</v>
      </c>
      <c r="F126" s="2">
        <v>62.6</v>
      </c>
      <c r="G126" s="9">
        <v>-0.13738019169329063</v>
      </c>
      <c r="H126" s="8" t="s">
        <v>10</v>
      </c>
      <c r="I126" s="2" t="s">
        <v>10</v>
      </c>
      <c r="J126" s="2" t="s">
        <v>10</v>
      </c>
      <c r="K126" s="2" t="s">
        <v>10</v>
      </c>
      <c r="L126" s="2" t="s">
        <v>10</v>
      </c>
      <c r="M126" s="2" t="s">
        <v>10</v>
      </c>
      <c r="N126" s="2" t="s">
        <v>10</v>
      </c>
      <c r="O126" s="2" t="s">
        <v>10</v>
      </c>
    </row>
    <row r="127" spans="1:15" x14ac:dyDescent="0.3">
      <c r="A127" s="2" t="s">
        <v>56</v>
      </c>
      <c r="B127" s="2" t="s">
        <v>45</v>
      </c>
      <c r="C127" s="2" t="s">
        <v>4</v>
      </c>
      <c r="D127" s="7">
        <v>44202</v>
      </c>
      <c r="E127" s="2">
        <v>0</v>
      </c>
      <c r="F127" s="2">
        <v>69.400000000000006</v>
      </c>
      <c r="G127" s="9">
        <v>-0.26512968299711792</v>
      </c>
      <c r="H127" s="8" t="s">
        <v>10</v>
      </c>
      <c r="I127" s="2" t="s">
        <v>10</v>
      </c>
      <c r="J127" s="2" t="s">
        <v>10</v>
      </c>
      <c r="K127" s="2" t="s">
        <v>10</v>
      </c>
      <c r="L127" s="2" t="s">
        <v>10</v>
      </c>
      <c r="M127" s="2" t="s">
        <v>10</v>
      </c>
      <c r="N127" s="2" t="s">
        <v>10</v>
      </c>
      <c r="O127" s="2" t="s">
        <v>10</v>
      </c>
    </row>
    <row r="128" spans="1:15" x14ac:dyDescent="0.3">
      <c r="A128" s="2" t="s">
        <v>56</v>
      </c>
      <c r="B128" s="2" t="s">
        <v>46</v>
      </c>
      <c r="C128" s="2" t="s">
        <v>4</v>
      </c>
      <c r="D128" s="7">
        <v>44202</v>
      </c>
      <c r="E128" s="2">
        <v>0</v>
      </c>
      <c r="F128" s="2">
        <v>54</v>
      </c>
      <c r="G128" s="9">
        <v>-9.6296296296296324E-2</v>
      </c>
      <c r="H128" s="8" t="s">
        <v>10</v>
      </c>
      <c r="I128" s="2" t="s">
        <v>10</v>
      </c>
      <c r="J128" s="2" t="s">
        <v>10</v>
      </c>
      <c r="K128" s="2" t="s">
        <v>10</v>
      </c>
      <c r="L128" s="2" t="s">
        <v>10</v>
      </c>
      <c r="M128" s="2" t="s">
        <v>10</v>
      </c>
      <c r="N128" s="2" t="s">
        <v>10</v>
      </c>
      <c r="O128" s="2" t="s">
        <v>10</v>
      </c>
    </row>
    <row r="129" spans="1:15" x14ac:dyDescent="0.3">
      <c r="A129" s="2" t="s">
        <v>56</v>
      </c>
      <c r="B129" s="2" t="s">
        <v>47</v>
      </c>
      <c r="C129" s="2" t="s">
        <v>5</v>
      </c>
      <c r="D129" s="7">
        <v>44202</v>
      </c>
      <c r="E129" s="2">
        <v>0</v>
      </c>
      <c r="F129" s="2">
        <v>52.400000000000006</v>
      </c>
      <c r="G129" s="9">
        <v>-9.5419847328244156E-2</v>
      </c>
      <c r="H129" s="8" t="s">
        <v>10</v>
      </c>
      <c r="I129" s="2" t="s">
        <v>10</v>
      </c>
      <c r="J129" s="2" t="s">
        <v>10</v>
      </c>
      <c r="K129" s="2" t="s">
        <v>10</v>
      </c>
      <c r="L129" s="2" t="s">
        <v>10</v>
      </c>
      <c r="M129" s="2" t="s">
        <v>10</v>
      </c>
      <c r="N129" s="2" t="s">
        <v>10</v>
      </c>
      <c r="O129" s="2" t="s">
        <v>10</v>
      </c>
    </row>
    <row r="130" spans="1:15" x14ac:dyDescent="0.3">
      <c r="A130" s="2" t="s">
        <v>56</v>
      </c>
      <c r="B130" s="2" t="s">
        <v>48</v>
      </c>
      <c r="C130" s="2" t="s">
        <v>4</v>
      </c>
      <c r="D130" s="7">
        <v>44202</v>
      </c>
      <c r="E130" s="2">
        <v>0</v>
      </c>
      <c r="F130" s="2">
        <v>46.8</v>
      </c>
      <c r="G130" s="9">
        <v>-0.28632478632478642</v>
      </c>
      <c r="H130" s="8" t="s">
        <v>10</v>
      </c>
      <c r="I130" s="2" t="s">
        <v>10</v>
      </c>
      <c r="J130" s="2" t="s">
        <v>10</v>
      </c>
      <c r="K130" s="2" t="s">
        <v>10</v>
      </c>
      <c r="L130" s="2" t="s">
        <v>10</v>
      </c>
      <c r="M130" s="2" t="s">
        <v>10</v>
      </c>
      <c r="N130" s="2" t="s">
        <v>10</v>
      </c>
      <c r="O130" s="2" t="s">
        <v>10</v>
      </c>
    </row>
    <row r="131" spans="1:15" x14ac:dyDescent="0.3">
      <c r="A131" s="2" t="s">
        <v>49</v>
      </c>
      <c r="B131" s="2" t="s">
        <v>3</v>
      </c>
      <c r="C131" s="2" t="s">
        <v>4</v>
      </c>
      <c r="D131" s="7">
        <v>44216</v>
      </c>
      <c r="E131" s="2">
        <v>0</v>
      </c>
      <c r="F131" s="2">
        <v>66.400000000000006</v>
      </c>
      <c r="G131" s="9">
        <v>4.8192771084337394E-2</v>
      </c>
      <c r="H131" s="8" t="s">
        <v>10</v>
      </c>
      <c r="I131" s="2" t="s">
        <v>10</v>
      </c>
      <c r="J131" s="2" t="s">
        <v>10</v>
      </c>
      <c r="K131" s="2" t="s">
        <v>10</v>
      </c>
      <c r="L131" s="2" t="s">
        <v>10</v>
      </c>
      <c r="M131" s="2" t="s">
        <v>10</v>
      </c>
      <c r="N131" s="2" t="s">
        <v>10</v>
      </c>
      <c r="O131" s="2" t="s">
        <v>10</v>
      </c>
    </row>
    <row r="132" spans="1:15" x14ac:dyDescent="0.3">
      <c r="A132" s="2" t="s">
        <v>49</v>
      </c>
      <c r="B132" s="2" t="s">
        <v>6</v>
      </c>
      <c r="C132" s="2" t="s">
        <v>5</v>
      </c>
      <c r="D132" s="7">
        <v>44216</v>
      </c>
      <c r="E132" s="2">
        <v>0</v>
      </c>
      <c r="F132" s="2">
        <v>63.4</v>
      </c>
      <c r="G132" s="9">
        <v>8.5173501577287092E-2</v>
      </c>
      <c r="H132" s="8" t="s">
        <v>10</v>
      </c>
      <c r="I132" s="2" t="s">
        <v>10</v>
      </c>
      <c r="J132" s="2" t="s">
        <v>10</v>
      </c>
      <c r="K132" s="2" t="s">
        <v>10</v>
      </c>
      <c r="L132" s="2" t="s">
        <v>10</v>
      </c>
      <c r="M132" s="2" t="s">
        <v>10</v>
      </c>
      <c r="N132" s="2" t="s">
        <v>10</v>
      </c>
      <c r="O132" s="2" t="s">
        <v>10</v>
      </c>
    </row>
    <row r="133" spans="1:15" x14ac:dyDescent="0.3">
      <c r="A133" s="2" t="s">
        <v>49</v>
      </c>
      <c r="B133" s="2" t="s">
        <v>7</v>
      </c>
      <c r="C133" s="2" t="s">
        <v>4</v>
      </c>
      <c r="D133" s="7">
        <v>44216</v>
      </c>
      <c r="E133" s="2">
        <v>0</v>
      </c>
      <c r="F133" s="2">
        <v>50.599999999999994</v>
      </c>
      <c r="G133" s="9">
        <v>-9.8814229249011953E-2</v>
      </c>
      <c r="H133" s="8" t="s">
        <v>10</v>
      </c>
      <c r="I133" s="2" t="s">
        <v>10</v>
      </c>
      <c r="J133" s="2" t="s">
        <v>10</v>
      </c>
      <c r="K133" s="2" t="s">
        <v>10</v>
      </c>
      <c r="L133" s="2" t="s">
        <v>10</v>
      </c>
      <c r="M133" s="2" t="s">
        <v>10</v>
      </c>
      <c r="N133" s="2" t="s">
        <v>10</v>
      </c>
      <c r="O133" s="2" t="s">
        <v>10</v>
      </c>
    </row>
    <row r="134" spans="1:15" x14ac:dyDescent="0.3">
      <c r="A134" s="2" t="s">
        <v>49</v>
      </c>
      <c r="B134" s="2" t="s">
        <v>8</v>
      </c>
      <c r="C134" s="2" t="s">
        <v>5</v>
      </c>
      <c r="D134" s="7">
        <v>44216</v>
      </c>
      <c r="E134" s="2">
        <v>0</v>
      </c>
      <c r="F134" s="2">
        <v>56.2</v>
      </c>
      <c r="G134" s="9">
        <v>-0.15658362989323837</v>
      </c>
      <c r="H134" s="8" t="s">
        <v>10</v>
      </c>
      <c r="I134" s="2" t="s">
        <v>10</v>
      </c>
      <c r="J134" s="2" t="s">
        <v>10</v>
      </c>
      <c r="K134" s="2" t="s">
        <v>10</v>
      </c>
      <c r="L134" s="2" t="s">
        <v>10</v>
      </c>
      <c r="M134" s="2" t="s">
        <v>10</v>
      </c>
      <c r="N134" s="2" t="s">
        <v>10</v>
      </c>
      <c r="O134" s="2" t="s">
        <v>10</v>
      </c>
    </row>
    <row r="135" spans="1:15" x14ac:dyDescent="0.3">
      <c r="A135" s="2" t="s">
        <v>50</v>
      </c>
      <c r="B135" s="2" t="s">
        <v>9</v>
      </c>
      <c r="C135" s="2" t="s">
        <v>4</v>
      </c>
      <c r="D135" s="7">
        <v>44216</v>
      </c>
      <c r="E135" s="2">
        <v>0</v>
      </c>
      <c r="F135" s="2">
        <v>51.599999999999994</v>
      </c>
      <c r="G135" s="9">
        <v>-0.1589147286821706</v>
      </c>
      <c r="H135" s="8" t="s">
        <v>10</v>
      </c>
      <c r="I135" s="2" t="s">
        <v>10</v>
      </c>
      <c r="J135" s="2" t="s">
        <v>10</v>
      </c>
      <c r="K135" s="2" t="s">
        <v>10</v>
      </c>
      <c r="L135" s="2" t="s">
        <v>10</v>
      </c>
      <c r="M135" s="2" t="s">
        <v>10</v>
      </c>
      <c r="N135" s="2" t="s">
        <v>10</v>
      </c>
      <c r="O135" s="2" t="s">
        <v>10</v>
      </c>
    </row>
    <row r="136" spans="1:15" x14ac:dyDescent="0.3">
      <c r="A136" s="2" t="s">
        <v>50</v>
      </c>
      <c r="B136" s="2" t="s">
        <v>11</v>
      </c>
      <c r="C136" s="2" t="s">
        <v>5</v>
      </c>
      <c r="D136" s="7">
        <v>44216</v>
      </c>
      <c r="E136" s="2">
        <v>0</v>
      </c>
      <c r="F136" s="2">
        <v>64.2</v>
      </c>
      <c r="G136" s="9">
        <v>-0.14330218068535827</v>
      </c>
      <c r="H136" s="8" t="s">
        <v>10</v>
      </c>
      <c r="I136" s="2" t="s">
        <v>10</v>
      </c>
      <c r="J136" s="2" t="s">
        <v>10</v>
      </c>
      <c r="K136" s="2" t="s">
        <v>10</v>
      </c>
      <c r="L136" s="2" t="s">
        <v>10</v>
      </c>
      <c r="M136" s="2" t="s">
        <v>10</v>
      </c>
      <c r="N136" s="2" t="s">
        <v>10</v>
      </c>
      <c r="O136" s="2" t="s">
        <v>10</v>
      </c>
    </row>
    <row r="137" spans="1:15" x14ac:dyDescent="0.3">
      <c r="A137" s="2" t="s">
        <v>50</v>
      </c>
      <c r="B137" s="2" t="s">
        <v>12</v>
      </c>
      <c r="C137" s="2" t="s">
        <v>5</v>
      </c>
      <c r="D137" s="7">
        <v>44216</v>
      </c>
      <c r="E137" s="2">
        <v>0</v>
      </c>
      <c r="F137" s="2">
        <v>60.2</v>
      </c>
      <c r="G137" s="9">
        <v>-0.14950166112956786</v>
      </c>
      <c r="H137" s="8" t="s">
        <v>10</v>
      </c>
      <c r="I137" s="2" t="s">
        <v>10</v>
      </c>
      <c r="J137" s="2" t="s">
        <v>10</v>
      </c>
      <c r="K137" s="2" t="s">
        <v>10</v>
      </c>
      <c r="L137" s="2" t="s">
        <v>10</v>
      </c>
      <c r="M137" s="2" t="s">
        <v>10</v>
      </c>
      <c r="N137" s="2" t="s">
        <v>10</v>
      </c>
      <c r="O137" s="2" t="s">
        <v>10</v>
      </c>
    </row>
    <row r="138" spans="1:15" x14ac:dyDescent="0.3">
      <c r="A138" s="2" t="s">
        <v>50</v>
      </c>
      <c r="B138" s="2" t="s">
        <v>13</v>
      </c>
      <c r="C138" s="2" t="s">
        <v>4</v>
      </c>
      <c r="D138" s="7">
        <v>44216</v>
      </c>
      <c r="E138" s="2">
        <v>0</v>
      </c>
      <c r="F138" s="2">
        <v>51</v>
      </c>
      <c r="G138" s="9">
        <v>-0.32156862745098058</v>
      </c>
      <c r="H138" s="8" t="s">
        <v>10</v>
      </c>
      <c r="I138" s="2" t="s">
        <v>10</v>
      </c>
      <c r="J138" s="2" t="s">
        <v>10</v>
      </c>
      <c r="K138" s="2" t="s">
        <v>10</v>
      </c>
      <c r="L138" s="2" t="s">
        <v>10</v>
      </c>
      <c r="M138" s="2" t="s">
        <v>10</v>
      </c>
      <c r="N138" s="2" t="s">
        <v>10</v>
      </c>
      <c r="O138" s="2" t="s">
        <v>10</v>
      </c>
    </row>
    <row r="139" spans="1:15" x14ac:dyDescent="0.3">
      <c r="A139" s="2" t="s">
        <v>50</v>
      </c>
      <c r="B139" s="2" t="s">
        <v>14</v>
      </c>
      <c r="C139" s="2" t="s">
        <v>4</v>
      </c>
      <c r="D139" s="7">
        <v>44216</v>
      </c>
      <c r="E139" s="2">
        <v>0</v>
      </c>
      <c r="F139" s="2">
        <v>49.599999999999994</v>
      </c>
      <c r="G139" s="9">
        <v>-0.17338709677419373</v>
      </c>
      <c r="H139" s="8" t="s">
        <v>10</v>
      </c>
      <c r="I139" s="2" t="s">
        <v>10</v>
      </c>
      <c r="J139" s="2" t="s">
        <v>10</v>
      </c>
      <c r="K139" s="2" t="s">
        <v>10</v>
      </c>
      <c r="L139" s="2" t="s">
        <v>10</v>
      </c>
      <c r="M139" s="2" t="s">
        <v>10</v>
      </c>
      <c r="N139" s="2" t="s">
        <v>10</v>
      </c>
      <c r="O139" s="2" t="s">
        <v>10</v>
      </c>
    </row>
    <row r="140" spans="1:15" x14ac:dyDescent="0.3">
      <c r="A140" s="2" t="s">
        <v>50</v>
      </c>
      <c r="B140" s="2" t="s">
        <v>15</v>
      </c>
      <c r="C140" s="2" t="s">
        <v>5</v>
      </c>
      <c r="D140" s="7">
        <v>44216</v>
      </c>
      <c r="E140" s="2">
        <v>0</v>
      </c>
      <c r="F140" s="2">
        <v>58.400000000000006</v>
      </c>
      <c r="G140" s="9">
        <v>-1.7123287671232834E-2</v>
      </c>
      <c r="H140" s="8" t="s">
        <v>10</v>
      </c>
      <c r="I140" s="2" t="s">
        <v>10</v>
      </c>
      <c r="J140" s="2" t="s">
        <v>10</v>
      </c>
      <c r="K140" s="2" t="s">
        <v>10</v>
      </c>
      <c r="L140" s="2" t="s">
        <v>10</v>
      </c>
      <c r="M140" s="2" t="s">
        <v>10</v>
      </c>
      <c r="N140" s="2" t="s">
        <v>10</v>
      </c>
      <c r="O140" s="2" t="s">
        <v>10</v>
      </c>
    </row>
    <row r="141" spans="1:15" x14ac:dyDescent="0.3">
      <c r="A141" s="2" t="s">
        <v>50</v>
      </c>
      <c r="B141" s="2" t="s">
        <v>16</v>
      </c>
      <c r="C141" s="2" t="s">
        <v>4</v>
      </c>
      <c r="D141" s="7">
        <v>44216</v>
      </c>
      <c r="E141" s="2">
        <v>0</v>
      </c>
      <c r="F141" s="2">
        <v>60.4</v>
      </c>
      <c r="G141" s="9">
        <v>-8.9403973509933676E-2</v>
      </c>
      <c r="H141" s="8" t="s">
        <v>10</v>
      </c>
      <c r="I141" s="2" t="s">
        <v>10</v>
      </c>
      <c r="J141" s="2" t="s">
        <v>10</v>
      </c>
      <c r="K141" s="2" t="s">
        <v>10</v>
      </c>
      <c r="L141" s="2" t="s">
        <v>10</v>
      </c>
      <c r="M141" s="2" t="s">
        <v>10</v>
      </c>
      <c r="N141" s="2" t="s">
        <v>10</v>
      </c>
      <c r="O141" s="2" t="s">
        <v>10</v>
      </c>
    </row>
    <row r="142" spans="1:15" x14ac:dyDescent="0.3">
      <c r="A142" s="2" t="s">
        <v>50</v>
      </c>
      <c r="B142" s="2" t="s">
        <v>17</v>
      </c>
      <c r="C142" s="2" t="s">
        <v>5</v>
      </c>
      <c r="D142" s="7">
        <v>44216</v>
      </c>
      <c r="E142" s="2">
        <v>0</v>
      </c>
      <c r="F142" s="2">
        <v>61.7</v>
      </c>
      <c r="G142" s="9">
        <v>1.4586709886547866E-2</v>
      </c>
      <c r="H142" s="8" t="s">
        <v>10</v>
      </c>
      <c r="I142" s="2" t="s">
        <v>10</v>
      </c>
      <c r="J142" s="2" t="s">
        <v>10</v>
      </c>
      <c r="K142" s="2" t="s">
        <v>10</v>
      </c>
      <c r="L142" s="2" t="s">
        <v>10</v>
      </c>
      <c r="M142" s="2" t="s">
        <v>10</v>
      </c>
      <c r="N142" s="2" t="s">
        <v>10</v>
      </c>
      <c r="O142" s="2" t="s">
        <v>10</v>
      </c>
    </row>
    <row r="143" spans="1:15" x14ac:dyDescent="0.3">
      <c r="A143" s="2" t="s">
        <v>50</v>
      </c>
      <c r="B143" s="2" t="s">
        <v>18</v>
      </c>
      <c r="C143" s="2" t="s">
        <v>4</v>
      </c>
      <c r="D143" s="7">
        <v>44216</v>
      </c>
      <c r="E143" s="2">
        <v>0</v>
      </c>
      <c r="F143" s="2">
        <v>46.2</v>
      </c>
      <c r="G143" s="9">
        <v>-0.13419913419913421</v>
      </c>
      <c r="H143" s="8" t="s">
        <v>10</v>
      </c>
      <c r="I143" s="2" t="s">
        <v>10</v>
      </c>
      <c r="J143" s="2" t="s">
        <v>10</v>
      </c>
      <c r="K143" s="2" t="s">
        <v>10</v>
      </c>
      <c r="L143" s="2" t="s">
        <v>10</v>
      </c>
      <c r="M143" s="2" t="s">
        <v>10</v>
      </c>
      <c r="N143" s="2" t="s">
        <v>10</v>
      </c>
      <c r="O143" s="2" t="s">
        <v>10</v>
      </c>
    </row>
    <row r="144" spans="1:15" x14ac:dyDescent="0.3">
      <c r="A144" s="2" t="s">
        <v>50</v>
      </c>
      <c r="B144" s="2" t="s">
        <v>19</v>
      </c>
      <c r="C144" s="2" t="s">
        <v>5</v>
      </c>
      <c r="D144" s="7">
        <v>44216</v>
      </c>
      <c r="E144" s="2">
        <v>0</v>
      </c>
      <c r="F144" s="2">
        <v>50.400000000000006</v>
      </c>
      <c r="G144" s="9">
        <v>-0.13095238095238093</v>
      </c>
      <c r="H144" s="8" t="s">
        <v>10</v>
      </c>
      <c r="I144" s="2" t="s">
        <v>10</v>
      </c>
      <c r="J144" s="2" t="s">
        <v>10</v>
      </c>
      <c r="K144" s="2" t="s">
        <v>10</v>
      </c>
      <c r="L144" s="2" t="s">
        <v>10</v>
      </c>
      <c r="M144" s="2" t="s">
        <v>10</v>
      </c>
      <c r="N144" s="2" t="s">
        <v>10</v>
      </c>
      <c r="O144" s="2" t="s">
        <v>10</v>
      </c>
    </row>
    <row r="145" spans="1:15" x14ac:dyDescent="0.3">
      <c r="A145" s="2" t="s">
        <v>51</v>
      </c>
      <c r="B145" s="2" t="s">
        <v>20</v>
      </c>
      <c r="C145" s="2" t="s">
        <v>4</v>
      </c>
      <c r="D145" s="7">
        <v>44216</v>
      </c>
      <c r="E145" s="2">
        <v>0</v>
      </c>
      <c r="F145" s="2">
        <v>46.8</v>
      </c>
      <c r="G145" s="9">
        <v>-0.27350427350427364</v>
      </c>
      <c r="H145" s="8" t="s">
        <v>10</v>
      </c>
      <c r="I145" s="2" t="s">
        <v>10</v>
      </c>
      <c r="J145" s="2" t="s">
        <v>10</v>
      </c>
      <c r="K145" s="2" t="s">
        <v>10</v>
      </c>
      <c r="L145" s="2" t="s">
        <v>10</v>
      </c>
      <c r="M145" s="2" t="s">
        <v>10</v>
      </c>
      <c r="N145" s="2" t="s">
        <v>10</v>
      </c>
      <c r="O145" s="2" t="s">
        <v>10</v>
      </c>
    </row>
    <row r="146" spans="1:15" x14ac:dyDescent="0.3">
      <c r="A146" s="2" t="s">
        <v>51</v>
      </c>
      <c r="B146" s="2" t="s">
        <v>21</v>
      </c>
      <c r="C146" s="2" t="s">
        <v>4</v>
      </c>
      <c r="D146" s="7">
        <v>44216</v>
      </c>
      <c r="E146" s="2">
        <v>0</v>
      </c>
      <c r="F146" s="2">
        <v>52.2</v>
      </c>
      <c r="G146" s="9">
        <v>-0.11111111111111116</v>
      </c>
      <c r="H146" s="8" t="s">
        <v>10</v>
      </c>
      <c r="I146" s="2" t="s">
        <v>10</v>
      </c>
      <c r="J146" s="2" t="s">
        <v>10</v>
      </c>
      <c r="K146" s="2" t="s">
        <v>10</v>
      </c>
      <c r="L146" s="2" t="s">
        <v>10</v>
      </c>
      <c r="M146" s="2" t="s">
        <v>10</v>
      </c>
      <c r="N146" s="2" t="s">
        <v>10</v>
      </c>
      <c r="O146" s="2" t="s">
        <v>10</v>
      </c>
    </row>
    <row r="147" spans="1:15" x14ac:dyDescent="0.3">
      <c r="A147" s="2" t="s">
        <v>51</v>
      </c>
      <c r="B147" s="2" t="s">
        <v>22</v>
      </c>
      <c r="C147" s="2" t="s">
        <v>5</v>
      </c>
      <c r="D147" s="7">
        <v>44216</v>
      </c>
      <c r="E147" s="2">
        <v>0</v>
      </c>
      <c r="F147" s="2">
        <v>65.599999999999994</v>
      </c>
      <c r="G147" s="9">
        <v>-4.2682926829268553E-2</v>
      </c>
      <c r="H147" s="8" t="s">
        <v>10</v>
      </c>
      <c r="I147" s="2" t="s">
        <v>10</v>
      </c>
      <c r="J147" s="2" t="s">
        <v>10</v>
      </c>
      <c r="K147" s="2" t="s">
        <v>10</v>
      </c>
      <c r="L147" s="2" t="s">
        <v>10</v>
      </c>
      <c r="M147" s="2" t="s">
        <v>10</v>
      </c>
      <c r="N147" s="2" t="s">
        <v>10</v>
      </c>
      <c r="O147" s="2" t="s">
        <v>10</v>
      </c>
    </row>
    <row r="148" spans="1:15" x14ac:dyDescent="0.3">
      <c r="A148" s="2" t="s">
        <v>51</v>
      </c>
      <c r="B148" s="2" t="s">
        <v>23</v>
      </c>
      <c r="C148" s="2" t="s">
        <v>4</v>
      </c>
      <c r="D148" s="7">
        <v>44216</v>
      </c>
      <c r="E148" s="2">
        <v>0</v>
      </c>
      <c r="F148" s="2">
        <v>44.4</v>
      </c>
      <c r="G148" s="9">
        <v>-6.3063063063063085E-2</v>
      </c>
      <c r="H148" s="8" t="s">
        <v>10</v>
      </c>
      <c r="I148" s="2" t="s">
        <v>10</v>
      </c>
      <c r="J148" s="2" t="s">
        <v>10</v>
      </c>
      <c r="K148" s="2" t="s">
        <v>10</v>
      </c>
      <c r="L148" s="2" t="s">
        <v>10</v>
      </c>
      <c r="M148" s="2" t="s">
        <v>10</v>
      </c>
      <c r="N148" s="2" t="s">
        <v>10</v>
      </c>
      <c r="O148" s="2" t="s">
        <v>10</v>
      </c>
    </row>
    <row r="149" spans="1:15" x14ac:dyDescent="0.3">
      <c r="A149" s="2" t="s">
        <v>51</v>
      </c>
      <c r="B149" s="2" t="s">
        <v>24</v>
      </c>
      <c r="C149" s="2" t="s">
        <v>5</v>
      </c>
      <c r="D149" s="7">
        <v>44216</v>
      </c>
      <c r="E149" s="2">
        <v>0</v>
      </c>
      <c r="F149" s="2">
        <v>72.800000000000011</v>
      </c>
      <c r="G149" s="9">
        <v>-0.10439560439560425</v>
      </c>
      <c r="H149" s="8" t="s">
        <v>10</v>
      </c>
      <c r="I149" s="2" t="s">
        <v>10</v>
      </c>
      <c r="J149" s="2" t="s">
        <v>10</v>
      </c>
      <c r="K149" s="2" t="s">
        <v>10</v>
      </c>
      <c r="L149" s="2" t="s">
        <v>10</v>
      </c>
      <c r="M149" s="2" t="s">
        <v>10</v>
      </c>
      <c r="N149" s="2" t="s">
        <v>10</v>
      </c>
      <c r="O149" s="2" t="s">
        <v>10</v>
      </c>
    </row>
    <row r="150" spans="1:15" x14ac:dyDescent="0.3">
      <c r="A150" s="2" t="s">
        <v>51</v>
      </c>
      <c r="B150" s="2" t="s">
        <v>25</v>
      </c>
      <c r="C150" s="2" t="s">
        <v>4</v>
      </c>
      <c r="D150" s="7">
        <v>44216</v>
      </c>
      <c r="E150" s="2">
        <v>0</v>
      </c>
      <c r="F150" s="2">
        <v>57.4</v>
      </c>
      <c r="G150" s="9">
        <v>-0.14634146341463405</v>
      </c>
      <c r="H150" s="8" t="s">
        <v>10</v>
      </c>
      <c r="I150" s="2" t="s">
        <v>10</v>
      </c>
      <c r="J150" s="2" t="s">
        <v>10</v>
      </c>
      <c r="K150" s="2" t="s">
        <v>10</v>
      </c>
      <c r="L150" s="2" t="s">
        <v>10</v>
      </c>
      <c r="M150" s="2" t="s">
        <v>10</v>
      </c>
      <c r="N150" s="2" t="s">
        <v>10</v>
      </c>
      <c r="O150" s="2" t="s">
        <v>10</v>
      </c>
    </row>
    <row r="151" spans="1:15" x14ac:dyDescent="0.3">
      <c r="A151" s="2" t="s">
        <v>52</v>
      </c>
      <c r="B151" s="2" t="s">
        <v>26</v>
      </c>
      <c r="C151" s="2" t="s">
        <v>4</v>
      </c>
      <c r="D151" s="7">
        <v>44216</v>
      </c>
      <c r="E151" s="2">
        <v>0</v>
      </c>
      <c r="F151" s="2">
        <v>47.6</v>
      </c>
      <c r="G151" s="9">
        <v>-5.4621848739495826E-2</v>
      </c>
      <c r="H151" s="8" t="s">
        <v>10</v>
      </c>
      <c r="I151" s="2" t="s">
        <v>10</v>
      </c>
      <c r="J151" s="2" t="s">
        <v>10</v>
      </c>
      <c r="K151" s="2" t="s">
        <v>10</v>
      </c>
      <c r="L151" s="2" t="s">
        <v>10</v>
      </c>
      <c r="M151" s="2" t="s">
        <v>10</v>
      </c>
      <c r="N151" s="2" t="s">
        <v>10</v>
      </c>
      <c r="O151" s="2" t="s">
        <v>10</v>
      </c>
    </row>
    <row r="152" spans="1:15" x14ac:dyDescent="0.3">
      <c r="A152" s="2" t="s">
        <v>52</v>
      </c>
      <c r="B152" s="2" t="s">
        <v>27</v>
      </c>
      <c r="C152" s="2" t="s">
        <v>5</v>
      </c>
      <c r="D152" s="7">
        <v>44216</v>
      </c>
      <c r="E152" s="2">
        <v>0</v>
      </c>
      <c r="F152" s="2">
        <v>55</v>
      </c>
      <c r="G152" s="9">
        <v>1.0909090909090757E-2</v>
      </c>
      <c r="H152" s="8" t="s">
        <v>10</v>
      </c>
      <c r="I152" s="2" t="s">
        <v>10</v>
      </c>
      <c r="J152" s="2" t="s">
        <v>10</v>
      </c>
      <c r="K152" s="2" t="s">
        <v>10</v>
      </c>
      <c r="L152" s="2" t="s">
        <v>10</v>
      </c>
      <c r="M152" s="2" t="s">
        <v>10</v>
      </c>
      <c r="N152" s="2" t="s">
        <v>10</v>
      </c>
      <c r="O152" s="2" t="s">
        <v>10</v>
      </c>
    </row>
    <row r="153" spans="1:15" x14ac:dyDescent="0.3">
      <c r="A153" s="2" t="s">
        <v>52</v>
      </c>
      <c r="B153" s="2" t="s">
        <v>28</v>
      </c>
      <c r="C153" s="2" t="s">
        <v>5</v>
      </c>
      <c r="D153" s="7">
        <v>44216</v>
      </c>
      <c r="E153" s="2">
        <v>0</v>
      </c>
      <c r="F153" s="2">
        <v>63.400000000000006</v>
      </c>
      <c r="G153" s="9">
        <v>-0.21766561514195581</v>
      </c>
      <c r="H153" s="8" t="s">
        <v>10</v>
      </c>
      <c r="I153" s="2" t="s">
        <v>10</v>
      </c>
      <c r="J153" s="2" t="s">
        <v>10</v>
      </c>
      <c r="K153" s="2" t="s">
        <v>10</v>
      </c>
      <c r="L153" s="2" t="s">
        <v>10</v>
      </c>
      <c r="M153" s="2" t="s">
        <v>10</v>
      </c>
      <c r="N153" s="2" t="s">
        <v>10</v>
      </c>
      <c r="O153" s="2" t="s">
        <v>10</v>
      </c>
    </row>
    <row r="154" spans="1:15" x14ac:dyDescent="0.3">
      <c r="A154" s="2" t="s">
        <v>53</v>
      </c>
      <c r="B154" s="2" t="s">
        <v>29</v>
      </c>
      <c r="C154" s="2" t="s">
        <v>4</v>
      </c>
      <c r="D154" s="7">
        <v>44216</v>
      </c>
      <c r="E154" s="2">
        <v>0</v>
      </c>
      <c r="F154" s="2">
        <v>52.2</v>
      </c>
      <c r="G154" s="9">
        <v>-8.0459770114942541E-2</v>
      </c>
      <c r="H154" s="8" t="s">
        <v>10</v>
      </c>
      <c r="I154" s="2" t="s">
        <v>10</v>
      </c>
      <c r="J154" s="2" t="s">
        <v>10</v>
      </c>
      <c r="K154" s="2" t="s">
        <v>10</v>
      </c>
      <c r="L154" s="2" t="s">
        <v>10</v>
      </c>
      <c r="M154" s="2" t="s">
        <v>10</v>
      </c>
      <c r="N154" s="2" t="s">
        <v>10</v>
      </c>
      <c r="O154" s="2" t="s">
        <v>10</v>
      </c>
    </row>
    <row r="155" spans="1:15" x14ac:dyDescent="0.3">
      <c r="A155" s="2" t="s">
        <v>53</v>
      </c>
      <c r="B155" s="2" t="s">
        <v>30</v>
      </c>
      <c r="C155" s="2" t="s">
        <v>5</v>
      </c>
      <c r="D155" s="7">
        <v>44216</v>
      </c>
      <c r="E155" s="2">
        <v>0</v>
      </c>
      <c r="F155" s="2">
        <v>52.8</v>
      </c>
      <c r="G155" s="9">
        <v>-0.10984848484848486</v>
      </c>
      <c r="H155" s="8" t="s">
        <v>10</v>
      </c>
      <c r="I155" s="2" t="s">
        <v>10</v>
      </c>
      <c r="J155" s="2" t="s">
        <v>10</v>
      </c>
      <c r="K155" s="2" t="s">
        <v>10</v>
      </c>
      <c r="L155" s="2" t="s">
        <v>10</v>
      </c>
      <c r="M155" s="2" t="s">
        <v>10</v>
      </c>
      <c r="N155" s="2" t="s">
        <v>10</v>
      </c>
      <c r="O155" s="2" t="s">
        <v>10</v>
      </c>
    </row>
    <row r="156" spans="1:15" x14ac:dyDescent="0.3">
      <c r="A156" s="2" t="s">
        <v>53</v>
      </c>
      <c r="B156" s="2" t="s">
        <v>31</v>
      </c>
      <c r="C156" s="2" t="s">
        <v>4</v>
      </c>
      <c r="D156" s="7">
        <v>44216</v>
      </c>
      <c r="E156" s="2">
        <v>0</v>
      </c>
      <c r="F156" s="2">
        <v>45.599999999999994</v>
      </c>
      <c r="G156" s="9">
        <v>-7.8947368421052877E-2</v>
      </c>
      <c r="H156" s="8" t="s">
        <v>10</v>
      </c>
      <c r="I156" s="2" t="s">
        <v>10</v>
      </c>
      <c r="J156" s="2" t="s">
        <v>10</v>
      </c>
      <c r="K156" s="2" t="s">
        <v>10</v>
      </c>
      <c r="L156" s="2" t="s">
        <v>10</v>
      </c>
      <c r="M156" s="2" t="s">
        <v>10</v>
      </c>
      <c r="N156" s="2" t="s">
        <v>10</v>
      </c>
      <c r="O156" s="2" t="s">
        <v>10</v>
      </c>
    </row>
    <row r="157" spans="1:15" x14ac:dyDescent="0.3">
      <c r="A157" s="2" t="s">
        <v>53</v>
      </c>
      <c r="B157" s="2" t="s">
        <v>32</v>
      </c>
      <c r="C157" s="2" t="s">
        <v>5</v>
      </c>
      <c r="D157" s="7">
        <v>44216</v>
      </c>
      <c r="E157" s="2">
        <v>0</v>
      </c>
      <c r="F157" s="2">
        <v>62</v>
      </c>
      <c r="G157" s="9">
        <v>-4.5161290322580649E-2</v>
      </c>
      <c r="H157" s="8" t="s">
        <v>10</v>
      </c>
      <c r="I157" s="2" t="s">
        <v>10</v>
      </c>
      <c r="J157" s="2" t="s">
        <v>10</v>
      </c>
      <c r="K157" s="2" t="s">
        <v>10</v>
      </c>
      <c r="L157" s="2" t="s">
        <v>10</v>
      </c>
      <c r="M157" s="2" t="s">
        <v>10</v>
      </c>
      <c r="N157" s="2" t="s">
        <v>10</v>
      </c>
      <c r="O157" s="2" t="s">
        <v>10</v>
      </c>
    </row>
    <row r="158" spans="1:15" x14ac:dyDescent="0.3">
      <c r="A158" s="2" t="s">
        <v>53</v>
      </c>
      <c r="B158" s="2" t="s">
        <v>33</v>
      </c>
      <c r="C158" s="2" t="s">
        <v>4</v>
      </c>
      <c r="D158" s="7">
        <v>44216</v>
      </c>
      <c r="E158" s="2">
        <v>0</v>
      </c>
      <c r="F158" s="2">
        <v>59.6</v>
      </c>
      <c r="G158" s="9">
        <v>-6.7114093959731447E-2</v>
      </c>
      <c r="H158" s="8" t="s">
        <v>10</v>
      </c>
      <c r="I158" s="2" t="s">
        <v>10</v>
      </c>
      <c r="J158" s="2" t="s">
        <v>10</v>
      </c>
      <c r="K158" s="2" t="s">
        <v>10</v>
      </c>
      <c r="L158" s="2" t="s">
        <v>10</v>
      </c>
      <c r="M158" s="2" t="s">
        <v>10</v>
      </c>
      <c r="N158" s="2" t="s">
        <v>10</v>
      </c>
      <c r="O158" s="2" t="s">
        <v>10</v>
      </c>
    </row>
    <row r="159" spans="1:15" x14ac:dyDescent="0.3">
      <c r="A159" s="2" t="s">
        <v>53</v>
      </c>
      <c r="B159" s="2" t="s">
        <v>34</v>
      </c>
      <c r="C159" s="2" t="s">
        <v>5</v>
      </c>
      <c r="D159" s="7">
        <v>44216</v>
      </c>
      <c r="E159" s="2">
        <v>0</v>
      </c>
      <c r="F159" s="2">
        <v>50</v>
      </c>
      <c r="G159" s="9">
        <v>-6.0000000000000053E-2</v>
      </c>
      <c r="H159" s="8" t="s">
        <v>10</v>
      </c>
      <c r="I159" s="2" t="s">
        <v>10</v>
      </c>
      <c r="J159" s="2" t="s">
        <v>10</v>
      </c>
      <c r="K159" s="2" t="s">
        <v>10</v>
      </c>
      <c r="L159" s="2" t="s">
        <v>10</v>
      </c>
      <c r="M159" s="2" t="s">
        <v>10</v>
      </c>
      <c r="N159" s="2" t="s">
        <v>10</v>
      </c>
      <c r="O159" s="2" t="s">
        <v>10</v>
      </c>
    </row>
    <row r="160" spans="1:15" x14ac:dyDescent="0.3">
      <c r="A160" s="2" t="s">
        <v>53</v>
      </c>
      <c r="B160" s="2" t="s">
        <v>35</v>
      </c>
      <c r="C160" s="2" t="s">
        <v>5</v>
      </c>
      <c r="D160" s="7">
        <v>44216</v>
      </c>
      <c r="E160" s="2">
        <v>0</v>
      </c>
      <c r="F160" s="2">
        <v>47.6</v>
      </c>
      <c r="G160" s="9">
        <v>-0.10084033613445365</v>
      </c>
      <c r="H160" s="8" t="s">
        <v>10</v>
      </c>
      <c r="I160" s="2" t="s">
        <v>10</v>
      </c>
      <c r="J160" s="2" t="s">
        <v>10</v>
      </c>
      <c r="K160" s="2" t="s">
        <v>10</v>
      </c>
      <c r="L160" s="2" t="s">
        <v>10</v>
      </c>
      <c r="M160" s="2" t="s">
        <v>10</v>
      </c>
      <c r="N160" s="2" t="s">
        <v>10</v>
      </c>
      <c r="O160" s="2" t="s">
        <v>10</v>
      </c>
    </row>
    <row r="161" spans="1:15" x14ac:dyDescent="0.3">
      <c r="A161" s="2" t="s">
        <v>53</v>
      </c>
      <c r="B161" s="2" t="s">
        <v>36</v>
      </c>
      <c r="C161" s="2" t="s">
        <v>4</v>
      </c>
      <c r="D161" s="7">
        <v>44216</v>
      </c>
      <c r="E161" s="2">
        <v>0</v>
      </c>
      <c r="F161" s="2">
        <v>58.8</v>
      </c>
      <c r="G161" s="9">
        <v>-3.0612244897959107E-2</v>
      </c>
      <c r="H161" s="8" t="s">
        <v>10</v>
      </c>
      <c r="I161" s="2" t="s">
        <v>10</v>
      </c>
      <c r="J161" s="2" t="s">
        <v>10</v>
      </c>
      <c r="K161" s="2" t="s">
        <v>10</v>
      </c>
      <c r="L161" s="2" t="s">
        <v>10</v>
      </c>
      <c r="M161" s="2" t="s">
        <v>10</v>
      </c>
      <c r="N161" s="2" t="s">
        <v>10</v>
      </c>
      <c r="O161" s="2" t="s">
        <v>10</v>
      </c>
    </row>
    <row r="162" spans="1:15" x14ac:dyDescent="0.3">
      <c r="A162" s="2" t="s">
        <v>54</v>
      </c>
      <c r="B162" s="2" t="s">
        <v>37</v>
      </c>
      <c r="C162" s="2" t="s">
        <v>5</v>
      </c>
      <c r="D162" s="7">
        <v>44216</v>
      </c>
      <c r="E162" s="2">
        <v>0</v>
      </c>
      <c r="F162" s="2">
        <v>75.800000000000011</v>
      </c>
      <c r="G162" s="9">
        <v>-0.155672823218997</v>
      </c>
      <c r="H162" s="8" t="s">
        <v>10</v>
      </c>
      <c r="I162" s="2" t="s">
        <v>10</v>
      </c>
      <c r="J162" s="2" t="s">
        <v>10</v>
      </c>
      <c r="K162" s="2" t="s">
        <v>10</v>
      </c>
      <c r="L162" s="2" t="s">
        <v>10</v>
      </c>
      <c r="M162" s="2" t="s">
        <v>10</v>
      </c>
      <c r="N162" s="2" t="s">
        <v>10</v>
      </c>
      <c r="O162" s="2" t="s">
        <v>10</v>
      </c>
    </row>
    <row r="163" spans="1:15" x14ac:dyDescent="0.3">
      <c r="A163" s="2" t="s">
        <v>54</v>
      </c>
      <c r="B163" s="2" t="s">
        <v>38</v>
      </c>
      <c r="C163" s="2" t="s">
        <v>4</v>
      </c>
      <c r="D163" s="7">
        <v>44216</v>
      </c>
      <c r="E163" s="2">
        <v>0</v>
      </c>
      <c r="F163" s="2">
        <v>72</v>
      </c>
      <c r="G163" s="9">
        <v>-7.5000000000000178E-2</v>
      </c>
      <c r="H163" s="8" t="s">
        <v>10</v>
      </c>
      <c r="I163" s="2" t="s">
        <v>10</v>
      </c>
      <c r="J163" s="2" t="s">
        <v>10</v>
      </c>
      <c r="K163" s="2" t="s">
        <v>10</v>
      </c>
      <c r="L163" s="2" t="s">
        <v>10</v>
      </c>
      <c r="M163" s="2" t="s">
        <v>10</v>
      </c>
      <c r="N163" s="2" t="s">
        <v>10</v>
      </c>
      <c r="O163" s="2" t="s">
        <v>10</v>
      </c>
    </row>
    <row r="164" spans="1:15" x14ac:dyDescent="0.3">
      <c r="A164" s="2" t="s">
        <v>54</v>
      </c>
      <c r="B164" s="2" t="s">
        <v>39</v>
      </c>
      <c r="C164" s="2" t="s">
        <v>5</v>
      </c>
      <c r="D164" s="7">
        <v>44216</v>
      </c>
      <c r="E164" s="2">
        <v>0</v>
      </c>
      <c r="F164" s="2">
        <v>67</v>
      </c>
      <c r="G164" s="9">
        <v>-2.6865671641790989E-2</v>
      </c>
      <c r="H164" s="8" t="s">
        <v>10</v>
      </c>
      <c r="I164" s="2" t="s">
        <v>10</v>
      </c>
      <c r="J164" s="2" t="s">
        <v>10</v>
      </c>
      <c r="K164" s="2" t="s">
        <v>10</v>
      </c>
      <c r="L164" s="2" t="s">
        <v>10</v>
      </c>
      <c r="M164" s="2" t="s">
        <v>10</v>
      </c>
      <c r="N164" s="2" t="s">
        <v>10</v>
      </c>
      <c r="O164" s="2" t="s">
        <v>10</v>
      </c>
    </row>
    <row r="165" spans="1:15" x14ac:dyDescent="0.3">
      <c r="A165" s="2" t="s">
        <v>55</v>
      </c>
      <c r="B165" s="2" t="s">
        <v>40</v>
      </c>
      <c r="C165" s="2" t="s">
        <v>4</v>
      </c>
      <c r="D165" s="7">
        <v>44216</v>
      </c>
      <c r="E165" s="2">
        <v>0</v>
      </c>
      <c r="F165" s="2">
        <v>65.400000000000006</v>
      </c>
      <c r="G165" s="9">
        <v>-9.7859327217125536E-2</v>
      </c>
      <c r="H165" s="8" t="s">
        <v>10</v>
      </c>
      <c r="I165" s="2" t="s">
        <v>10</v>
      </c>
      <c r="J165" s="2" t="s">
        <v>10</v>
      </c>
      <c r="K165" s="2" t="s">
        <v>10</v>
      </c>
      <c r="L165" s="2" t="s">
        <v>10</v>
      </c>
      <c r="M165" s="2" t="s">
        <v>10</v>
      </c>
      <c r="N165" s="2" t="s">
        <v>10</v>
      </c>
      <c r="O165" s="2" t="s">
        <v>10</v>
      </c>
    </row>
    <row r="166" spans="1:15" x14ac:dyDescent="0.3">
      <c r="A166" s="2" t="s">
        <v>55</v>
      </c>
      <c r="B166" s="2" t="s">
        <v>41</v>
      </c>
      <c r="C166" s="2" t="s">
        <v>5</v>
      </c>
      <c r="D166" s="7">
        <v>44216</v>
      </c>
      <c r="E166" s="2">
        <v>0</v>
      </c>
      <c r="F166" s="2">
        <v>60</v>
      </c>
      <c r="G166" s="9">
        <v>-4.6666666666666634E-2</v>
      </c>
      <c r="H166" s="8" t="s">
        <v>10</v>
      </c>
      <c r="I166" s="2" t="s">
        <v>10</v>
      </c>
      <c r="J166" s="2" t="s">
        <v>10</v>
      </c>
      <c r="K166" s="2" t="s">
        <v>10</v>
      </c>
      <c r="L166" s="2" t="s">
        <v>10</v>
      </c>
      <c r="M166" s="2" t="s">
        <v>10</v>
      </c>
      <c r="N166" s="2" t="s">
        <v>10</v>
      </c>
      <c r="O166" s="2" t="s">
        <v>10</v>
      </c>
    </row>
    <row r="167" spans="1:15" x14ac:dyDescent="0.3">
      <c r="A167" s="2" t="s">
        <v>55</v>
      </c>
      <c r="B167" s="2" t="s">
        <v>42</v>
      </c>
      <c r="C167" s="2" t="s">
        <v>5</v>
      </c>
      <c r="D167" s="7">
        <v>44216</v>
      </c>
      <c r="E167" s="2">
        <v>0</v>
      </c>
      <c r="F167" s="2">
        <v>62.599999999999994</v>
      </c>
      <c r="G167" s="9">
        <v>-6.7092651757188593E-2</v>
      </c>
      <c r="H167" s="8" t="s">
        <v>10</v>
      </c>
      <c r="I167" s="2" t="s">
        <v>10</v>
      </c>
      <c r="J167" s="2" t="s">
        <v>10</v>
      </c>
      <c r="K167" s="2" t="s">
        <v>10</v>
      </c>
      <c r="L167" s="2" t="s">
        <v>10</v>
      </c>
      <c r="M167" s="2" t="s">
        <v>10</v>
      </c>
      <c r="N167" s="2" t="s">
        <v>10</v>
      </c>
      <c r="O167" s="2" t="s">
        <v>10</v>
      </c>
    </row>
    <row r="168" spans="1:15" x14ac:dyDescent="0.3">
      <c r="A168" s="2" t="s">
        <v>55</v>
      </c>
      <c r="B168" s="2" t="s">
        <v>43</v>
      </c>
      <c r="C168" s="2" t="s">
        <v>4</v>
      </c>
      <c r="D168" s="7">
        <v>44216</v>
      </c>
      <c r="E168" s="2">
        <v>0</v>
      </c>
      <c r="F168" s="2">
        <v>61.400000000000006</v>
      </c>
      <c r="G168" s="9">
        <v>-0.14657980456026065</v>
      </c>
      <c r="H168" s="8" t="s">
        <v>10</v>
      </c>
      <c r="I168" s="2" t="s">
        <v>10</v>
      </c>
      <c r="J168" s="2" t="s">
        <v>10</v>
      </c>
      <c r="K168" s="2" t="s">
        <v>10</v>
      </c>
      <c r="L168" s="2" t="s">
        <v>10</v>
      </c>
      <c r="M168" s="2" t="s">
        <v>10</v>
      </c>
      <c r="N168" s="2" t="s">
        <v>10</v>
      </c>
      <c r="O168" s="2" t="s">
        <v>10</v>
      </c>
    </row>
    <row r="169" spans="1:15" x14ac:dyDescent="0.3">
      <c r="A169" s="2" t="s">
        <v>56</v>
      </c>
      <c r="B169" s="2" t="s">
        <v>44</v>
      </c>
      <c r="C169" s="2" t="s">
        <v>5</v>
      </c>
      <c r="D169" s="7">
        <v>44216</v>
      </c>
      <c r="E169" s="2">
        <v>0</v>
      </c>
      <c r="F169" s="2">
        <v>54.2</v>
      </c>
      <c r="G169" s="9">
        <v>-0.31365313653136506</v>
      </c>
      <c r="H169" s="8" t="s">
        <v>10</v>
      </c>
      <c r="I169" s="2" t="s">
        <v>10</v>
      </c>
      <c r="J169" s="2" t="s">
        <v>10</v>
      </c>
      <c r="K169" s="2" t="s">
        <v>10</v>
      </c>
      <c r="L169" s="2" t="s">
        <v>10</v>
      </c>
      <c r="M169" s="2" t="s">
        <v>10</v>
      </c>
      <c r="N169" s="2" t="s">
        <v>10</v>
      </c>
      <c r="O169" s="2" t="s">
        <v>10</v>
      </c>
    </row>
    <row r="170" spans="1:15" x14ac:dyDescent="0.3">
      <c r="A170" s="2" t="s">
        <v>56</v>
      </c>
      <c r="B170" s="2" t="s">
        <v>45</v>
      </c>
      <c r="C170" s="2" t="s">
        <v>4</v>
      </c>
      <c r="D170" s="7">
        <v>44216</v>
      </c>
      <c r="E170" s="2">
        <v>0</v>
      </c>
      <c r="F170" s="2">
        <v>63.2</v>
      </c>
      <c r="G170" s="9">
        <v>-0.38924050632911378</v>
      </c>
      <c r="H170" s="8" t="s">
        <v>10</v>
      </c>
      <c r="I170" s="2" t="s">
        <v>10</v>
      </c>
      <c r="J170" s="2" t="s">
        <v>10</v>
      </c>
      <c r="K170" s="2" t="s">
        <v>10</v>
      </c>
      <c r="L170" s="2" t="s">
        <v>10</v>
      </c>
      <c r="M170" s="2" t="s">
        <v>10</v>
      </c>
      <c r="N170" s="2" t="s">
        <v>10</v>
      </c>
      <c r="O170" s="2" t="s">
        <v>10</v>
      </c>
    </row>
    <row r="171" spans="1:15" x14ac:dyDescent="0.3">
      <c r="A171" s="2" t="s">
        <v>56</v>
      </c>
      <c r="B171" s="2" t="s">
        <v>46</v>
      </c>
      <c r="C171" s="2" t="s">
        <v>4</v>
      </c>
      <c r="D171" s="7">
        <v>44216</v>
      </c>
      <c r="E171" s="2">
        <v>0</v>
      </c>
      <c r="F171" s="2">
        <v>45</v>
      </c>
      <c r="G171" s="9">
        <v>-0.31555555555555559</v>
      </c>
      <c r="H171" s="8" t="s">
        <v>10</v>
      </c>
      <c r="I171" s="2" t="s">
        <v>10</v>
      </c>
      <c r="J171" s="2" t="s">
        <v>10</v>
      </c>
      <c r="K171" s="2" t="s">
        <v>10</v>
      </c>
      <c r="L171" s="2" t="s">
        <v>10</v>
      </c>
      <c r="M171" s="2" t="s">
        <v>10</v>
      </c>
      <c r="N171" s="2" t="s">
        <v>10</v>
      </c>
      <c r="O171" s="2" t="s">
        <v>10</v>
      </c>
    </row>
    <row r="172" spans="1:15" x14ac:dyDescent="0.3">
      <c r="A172" s="2" t="s">
        <v>56</v>
      </c>
      <c r="B172" s="2" t="s">
        <v>47</v>
      </c>
      <c r="C172" s="2" t="s">
        <v>5</v>
      </c>
      <c r="D172" s="7">
        <v>44216</v>
      </c>
      <c r="E172" s="2">
        <v>0</v>
      </c>
      <c r="F172" s="2">
        <v>52.6</v>
      </c>
      <c r="G172" s="9">
        <v>-9.1254752851711141E-2</v>
      </c>
      <c r="H172" s="8" t="s">
        <v>10</v>
      </c>
      <c r="I172" s="2" t="s">
        <v>10</v>
      </c>
      <c r="J172" s="2" t="s">
        <v>10</v>
      </c>
      <c r="K172" s="2" t="s">
        <v>10</v>
      </c>
      <c r="L172" s="2" t="s">
        <v>10</v>
      </c>
      <c r="M172" s="2" t="s">
        <v>10</v>
      </c>
      <c r="N172" s="2" t="s">
        <v>10</v>
      </c>
      <c r="O172" s="2" t="s">
        <v>10</v>
      </c>
    </row>
    <row r="173" spans="1:15" x14ac:dyDescent="0.3">
      <c r="A173" s="2" t="s">
        <v>56</v>
      </c>
      <c r="B173" s="2" t="s">
        <v>48</v>
      </c>
      <c r="C173" s="2" t="s">
        <v>4</v>
      </c>
      <c r="D173" s="7">
        <v>44216</v>
      </c>
      <c r="E173" s="2">
        <v>0</v>
      </c>
      <c r="F173" s="2">
        <v>45.4</v>
      </c>
      <c r="G173" s="9">
        <v>-0.32599118942731287</v>
      </c>
      <c r="H173" s="8" t="s">
        <v>10</v>
      </c>
      <c r="I173" s="2" t="s">
        <v>10</v>
      </c>
      <c r="J173" s="2" t="s">
        <v>10</v>
      </c>
      <c r="K173" s="2" t="s">
        <v>10</v>
      </c>
      <c r="L173" s="2" t="s">
        <v>10</v>
      </c>
      <c r="M173" s="2" t="s">
        <v>10</v>
      </c>
      <c r="N173" s="2" t="s">
        <v>10</v>
      </c>
      <c r="O173" s="2" t="s">
        <v>10</v>
      </c>
    </row>
    <row r="174" spans="1:15" x14ac:dyDescent="0.3">
      <c r="A174" s="2" t="s">
        <v>49</v>
      </c>
      <c r="B174" s="2" t="s">
        <v>3</v>
      </c>
      <c r="C174" s="2" t="s">
        <v>4</v>
      </c>
      <c r="D174" s="7">
        <v>44229</v>
      </c>
      <c r="E174" s="2">
        <v>0</v>
      </c>
      <c r="F174" s="2">
        <v>70</v>
      </c>
      <c r="G174" s="9">
        <v>9.7142857142857086E-2</v>
      </c>
      <c r="H174" s="8" t="s">
        <v>10</v>
      </c>
      <c r="I174" s="2" t="s">
        <v>10</v>
      </c>
      <c r="J174" s="2" t="s">
        <v>10</v>
      </c>
      <c r="K174" s="2" t="s">
        <v>10</v>
      </c>
      <c r="L174" s="2" t="s">
        <v>10</v>
      </c>
      <c r="M174" s="2" t="s">
        <v>10</v>
      </c>
      <c r="N174" s="2" t="s">
        <v>10</v>
      </c>
      <c r="O174" s="2" t="s">
        <v>10</v>
      </c>
    </row>
    <row r="175" spans="1:15" x14ac:dyDescent="0.3">
      <c r="A175" s="2" t="s">
        <v>49</v>
      </c>
      <c r="B175" s="2" t="s">
        <v>6</v>
      </c>
      <c r="C175" s="2" t="s">
        <v>5</v>
      </c>
      <c r="D175" s="7">
        <v>44229</v>
      </c>
      <c r="E175" s="2">
        <v>0</v>
      </c>
      <c r="F175" s="2">
        <v>58</v>
      </c>
      <c r="G175" s="9">
        <v>0</v>
      </c>
      <c r="H175" s="8" t="s">
        <v>10</v>
      </c>
      <c r="I175" s="2" t="s">
        <v>10</v>
      </c>
      <c r="J175" s="2" t="s">
        <v>10</v>
      </c>
      <c r="K175" s="2" t="s">
        <v>10</v>
      </c>
      <c r="L175" s="2" t="s">
        <v>10</v>
      </c>
      <c r="M175" s="2" t="s">
        <v>10</v>
      </c>
      <c r="N175" s="2" t="s">
        <v>10</v>
      </c>
      <c r="O175" s="2" t="s">
        <v>10</v>
      </c>
    </row>
    <row r="176" spans="1:15" x14ac:dyDescent="0.3">
      <c r="A176" s="2" t="s">
        <v>49</v>
      </c>
      <c r="B176" s="2" t="s">
        <v>7</v>
      </c>
      <c r="C176" s="2" t="s">
        <v>4</v>
      </c>
      <c r="D176" s="7">
        <v>44229</v>
      </c>
      <c r="E176" s="2">
        <v>0</v>
      </c>
      <c r="F176" s="2">
        <v>50.2</v>
      </c>
      <c r="G176" s="9">
        <v>-0.10756972111553775</v>
      </c>
      <c r="H176" s="8" t="s">
        <v>10</v>
      </c>
      <c r="I176" s="2" t="s">
        <v>10</v>
      </c>
      <c r="J176" s="2" t="s">
        <v>10</v>
      </c>
      <c r="K176" s="2" t="s">
        <v>10</v>
      </c>
      <c r="L176" s="2" t="s">
        <v>10</v>
      </c>
      <c r="M176" s="2" t="s">
        <v>10</v>
      </c>
      <c r="N176" s="2" t="s">
        <v>10</v>
      </c>
      <c r="O176" s="2" t="s">
        <v>10</v>
      </c>
    </row>
    <row r="177" spans="1:15" x14ac:dyDescent="0.3">
      <c r="A177" s="2" t="s">
        <v>49</v>
      </c>
      <c r="B177" s="2" t="s">
        <v>8</v>
      </c>
      <c r="C177" s="2" t="s">
        <v>5</v>
      </c>
      <c r="D177" s="7">
        <v>44229</v>
      </c>
      <c r="E177" s="2">
        <v>0</v>
      </c>
      <c r="F177" s="2">
        <v>55.599999999999994</v>
      </c>
      <c r="G177" s="9">
        <v>-0.16906474820143891</v>
      </c>
      <c r="H177" s="8" t="s">
        <v>10</v>
      </c>
      <c r="I177" s="2" t="s">
        <v>10</v>
      </c>
      <c r="J177" s="2" t="s">
        <v>10</v>
      </c>
      <c r="K177" s="2" t="s">
        <v>10</v>
      </c>
      <c r="L177" s="2" t="s">
        <v>10</v>
      </c>
      <c r="M177" s="2" t="s">
        <v>10</v>
      </c>
      <c r="N177" s="2" t="s">
        <v>10</v>
      </c>
      <c r="O177" s="2" t="s">
        <v>10</v>
      </c>
    </row>
    <row r="178" spans="1:15" x14ac:dyDescent="0.3">
      <c r="A178" s="2" t="s">
        <v>50</v>
      </c>
      <c r="B178" s="2" t="s">
        <v>9</v>
      </c>
      <c r="C178" s="2" t="s">
        <v>4</v>
      </c>
      <c r="D178" s="7">
        <v>44229</v>
      </c>
      <c r="E178" s="2">
        <v>1</v>
      </c>
      <c r="F178" s="2">
        <v>58.2</v>
      </c>
      <c r="G178" s="9" t="s">
        <v>10</v>
      </c>
      <c r="H178" s="8" t="s">
        <v>10</v>
      </c>
      <c r="I178" s="2" t="s">
        <v>10</v>
      </c>
      <c r="J178" s="2" t="s">
        <v>10</v>
      </c>
      <c r="K178" s="2" t="s">
        <v>10</v>
      </c>
      <c r="L178" s="2" t="s">
        <v>10</v>
      </c>
      <c r="M178" s="2" t="s">
        <v>10</v>
      </c>
      <c r="N178" s="2" t="s">
        <v>10</v>
      </c>
      <c r="O178" s="2" t="s">
        <v>10</v>
      </c>
    </row>
    <row r="179" spans="1:15" x14ac:dyDescent="0.3">
      <c r="A179" s="2" t="s">
        <v>50</v>
      </c>
      <c r="B179" s="2" t="s">
        <v>11</v>
      </c>
      <c r="C179" s="2" t="s">
        <v>5</v>
      </c>
      <c r="D179" s="7">
        <v>44229</v>
      </c>
      <c r="E179" s="2">
        <v>0</v>
      </c>
      <c r="F179" s="2">
        <v>63.8</v>
      </c>
      <c r="G179" s="9">
        <v>-0.1504702194357368</v>
      </c>
      <c r="H179" s="8" t="s">
        <v>10</v>
      </c>
      <c r="I179" s="2" t="s">
        <v>10</v>
      </c>
      <c r="J179" s="2" t="s">
        <v>10</v>
      </c>
      <c r="K179" s="2" t="s">
        <v>10</v>
      </c>
      <c r="L179" s="2" t="s">
        <v>10</v>
      </c>
      <c r="M179" s="2" t="s">
        <v>10</v>
      </c>
      <c r="N179" s="2" t="s">
        <v>10</v>
      </c>
      <c r="O179" s="2" t="s">
        <v>10</v>
      </c>
    </row>
    <row r="180" spans="1:15" x14ac:dyDescent="0.3">
      <c r="A180" s="2" t="s">
        <v>50</v>
      </c>
      <c r="B180" s="2" t="s">
        <v>12</v>
      </c>
      <c r="C180" s="2" t="s">
        <v>5</v>
      </c>
      <c r="D180" s="7">
        <v>44229</v>
      </c>
      <c r="E180" s="2">
        <v>0</v>
      </c>
      <c r="F180" s="2">
        <v>62.2</v>
      </c>
      <c r="G180" s="9">
        <v>-0.11254019292604478</v>
      </c>
      <c r="H180" s="8" t="s">
        <v>10</v>
      </c>
      <c r="I180" s="2" t="s">
        <v>10</v>
      </c>
      <c r="J180" s="2" t="s">
        <v>10</v>
      </c>
      <c r="K180" s="2" t="s">
        <v>10</v>
      </c>
      <c r="L180" s="2" t="s">
        <v>10</v>
      </c>
      <c r="M180" s="2" t="s">
        <v>10</v>
      </c>
      <c r="N180" s="2" t="s">
        <v>10</v>
      </c>
      <c r="O180" s="2" t="s">
        <v>10</v>
      </c>
    </row>
    <row r="181" spans="1:15" x14ac:dyDescent="0.3">
      <c r="A181" s="2" t="s">
        <v>50</v>
      </c>
      <c r="B181" s="2" t="s">
        <v>13</v>
      </c>
      <c r="C181" s="2" t="s">
        <v>4</v>
      </c>
      <c r="D181" s="7">
        <v>44229</v>
      </c>
      <c r="E181" s="2">
        <v>0</v>
      </c>
      <c r="F181" s="2">
        <v>46.8</v>
      </c>
      <c r="G181" s="9">
        <v>-0.44017094017094038</v>
      </c>
      <c r="H181" s="8" t="s">
        <v>10</v>
      </c>
      <c r="I181" s="2" t="s">
        <v>10</v>
      </c>
      <c r="J181" s="2" t="s">
        <v>10</v>
      </c>
      <c r="K181" s="2" t="s">
        <v>10</v>
      </c>
      <c r="L181" s="2" t="s">
        <v>10</v>
      </c>
      <c r="M181" s="2" t="s">
        <v>10</v>
      </c>
      <c r="N181" s="2" t="s">
        <v>10</v>
      </c>
      <c r="O181" s="2" t="s">
        <v>10</v>
      </c>
    </row>
    <row r="182" spans="1:15" x14ac:dyDescent="0.3">
      <c r="A182" s="2" t="s">
        <v>50</v>
      </c>
      <c r="B182" s="2" t="s">
        <v>14</v>
      </c>
      <c r="C182" s="2" t="s">
        <v>4</v>
      </c>
      <c r="D182" s="7">
        <v>44229</v>
      </c>
      <c r="E182" s="2">
        <v>0</v>
      </c>
      <c r="F182" s="2">
        <v>46.4</v>
      </c>
      <c r="G182" s="9">
        <v>-0.2543103448275863</v>
      </c>
      <c r="H182" s="8" t="s">
        <v>10</v>
      </c>
      <c r="I182" s="2" t="s">
        <v>10</v>
      </c>
      <c r="J182" s="2" t="s">
        <v>10</v>
      </c>
      <c r="K182" s="2" t="s">
        <v>10</v>
      </c>
      <c r="L182" s="2" t="s">
        <v>10</v>
      </c>
      <c r="M182" s="2" t="s">
        <v>10</v>
      </c>
      <c r="N182" s="2" t="s">
        <v>10</v>
      </c>
      <c r="O182" s="2" t="s">
        <v>10</v>
      </c>
    </row>
    <row r="183" spans="1:15" x14ac:dyDescent="0.3">
      <c r="A183" s="2" t="s">
        <v>50</v>
      </c>
      <c r="B183" s="2" t="s">
        <v>15</v>
      </c>
      <c r="C183" s="2" t="s">
        <v>5</v>
      </c>
      <c r="D183" s="7">
        <v>44229</v>
      </c>
      <c r="E183" s="2">
        <v>0</v>
      </c>
      <c r="F183" s="2">
        <v>54.8</v>
      </c>
      <c r="G183" s="9">
        <v>-8.3941605839416011E-2</v>
      </c>
      <c r="H183" s="8" t="s">
        <v>10</v>
      </c>
      <c r="I183" s="2" t="s">
        <v>10</v>
      </c>
      <c r="J183" s="2" t="s">
        <v>10</v>
      </c>
      <c r="K183" s="2" t="s">
        <v>10</v>
      </c>
      <c r="L183" s="2" t="s">
        <v>10</v>
      </c>
      <c r="M183" s="2" t="s">
        <v>10</v>
      </c>
      <c r="N183" s="2" t="s">
        <v>10</v>
      </c>
      <c r="O183" s="2" t="s">
        <v>10</v>
      </c>
    </row>
    <row r="184" spans="1:15" x14ac:dyDescent="0.3">
      <c r="A184" s="2" t="s">
        <v>50</v>
      </c>
      <c r="B184" s="2" t="s">
        <v>16</v>
      </c>
      <c r="C184" s="2" t="s">
        <v>4</v>
      </c>
      <c r="D184" s="7">
        <v>44229</v>
      </c>
      <c r="E184" s="2">
        <v>0</v>
      </c>
      <c r="F184" s="2">
        <v>57.599999999999994</v>
      </c>
      <c r="G184" s="9">
        <v>-0.14236111111111116</v>
      </c>
      <c r="H184" s="8" t="s">
        <v>10</v>
      </c>
      <c r="I184" s="2" t="s">
        <v>10</v>
      </c>
      <c r="J184" s="2" t="s">
        <v>10</v>
      </c>
      <c r="K184" s="2" t="s">
        <v>10</v>
      </c>
      <c r="L184" s="2" t="s">
        <v>10</v>
      </c>
      <c r="M184" s="2" t="s">
        <v>10</v>
      </c>
      <c r="N184" s="2" t="s">
        <v>10</v>
      </c>
      <c r="O184" s="2" t="s">
        <v>10</v>
      </c>
    </row>
    <row r="185" spans="1:15" x14ac:dyDescent="0.3">
      <c r="A185" s="2" t="s">
        <v>50</v>
      </c>
      <c r="B185" s="2" t="s">
        <v>17</v>
      </c>
      <c r="C185" s="2" t="s">
        <v>5</v>
      </c>
      <c r="D185" s="7">
        <v>44229</v>
      </c>
      <c r="E185" s="2">
        <v>0</v>
      </c>
      <c r="F185" s="2">
        <v>58.8</v>
      </c>
      <c r="G185" s="9">
        <v>-3.4013605442176909E-2</v>
      </c>
      <c r="H185" s="8" t="s">
        <v>10</v>
      </c>
      <c r="I185" s="2" t="s">
        <v>10</v>
      </c>
      <c r="J185" s="2" t="s">
        <v>10</v>
      </c>
      <c r="K185" s="2" t="s">
        <v>10</v>
      </c>
      <c r="L185" s="2" t="s">
        <v>10</v>
      </c>
      <c r="M185" s="2" t="s">
        <v>10</v>
      </c>
      <c r="N185" s="2" t="s">
        <v>10</v>
      </c>
      <c r="O185" s="2" t="s">
        <v>10</v>
      </c>
    </row>
    <row r="186" spans="1:15" x14ac:dyDescent="0.3">
      <c r="A186" s="2" t="s">
        <v>50</v>
      </c>
      <c r="B186" s="2" t="s">
        <v>18</v>
      </c>
      <c r="C186" s="2" t="s">
        <v>4</v>
      </c>
      <c r="D186" s="7">
        <v>44229</v>
      </c>
      <c r="E186" s="2">
        <v>0</v>
      </c>
      <c r="F186" s="2">
        <v>45.8</v>
      </c>
      <c r="G186" s="9">
        <v>-0.14410480349345001</v>
      </c>
      <c r="H186" s="8" t="s">
        <v>10</v>
      </c>
      <c r="I186" s="2" t="s">
        <v>10</v>
      </c>
      <c r="J186" s="2" t="s">
        <v>10</v>
      </c>
      <c r="K186" s="2" t="s">
        <v>10</v>
      </c>
      <c r="L186" s="2" t="s">
        <v>10</v>
      </c>
      <c r="M186" s="2" t="s">
        <v>10</v>
      </c>
      <c r="N186" s="2" t="s">
        <v>10</v>
      </c>
      <c r="O186" s="2" t="s">
        <v>10</v>
      </c>
    </row>
    <row r="187" spans="1:15" x14ac:dyDescent="0.3">
      <c r="A187" s="2" t="s">
        <v>50</v>
      </c>
      <c r="B187" s="2" t="s">
        <v>19</v>
      </c>
      <c r="C187" s="2" t="s">
        <v>5</v>
      </c>
      <c r="D187" s="7">
        <v>44229</v>
      </c>
      <c r="E187" s="2">
        <v>0</v>
      </c>
      <c r="F187" s="2">
        <v>55.599999999999994</v>
      </c>
      <c r="G187" s="9">
        <v>-2.5179856115107979E-2</v>
      </c>
      <c r="H187" s="8" t="s">
        <v>10</v>
      </c>
      <c r="I187" s="2" t="s">
        <v>10</v>
      </c>
      <c r="J187" s="2" t="s">
        <v>10</v>
      </c>
      <c r="K187" s="2" t="s">
        <v>10</v>
      </c>
      <c r="L187" s="2" t="s">
        <v>10</v>
      </c>
      <c r="M187" s="2" t="s">
        <v>10</v>
      </c>
      <c r="N187" s="2" t="s">
        <v>10</v>
      </c>
      <c r="O187" s="2" t="s">
        <v>10</v>
      </c>
    </row>
    <row r="188" spans="1:15" x14ac:dyDescent="0.3">
      <c r="A188" s="2" t="s">
        <v>51</v>
      </c>
      <c r="B188" s="2" t="s">
        <v>20</v>
      </c>
      <c r="C188" s="2" t="s">
        <v>4</v>
      </c>
      <c r="D188" s="7">
        <v>44229</v>
      </c>
      <c r="E188" s="2">
        <v>0</v>
      </c>
      <c r="F188" s="2">
        <v>49.2</v>
      </c>
      <c r="G188" s="9">
        <v>-0.21138211382113825</v>
      </c>
      <c r="H188" s="8" t="s">
        <v>10</v>
      </c>
      <c r="I188" s="2" t="s">
        <v>10</v>
      </c>
      <c r="J188" s="2" t="s">
        <v>10</v>
      </c>
      <c r="K188" s="2" t="s">
        <v>10</v>
      </c>
      <c r="L188" s="2" t="s">
        <v>10</v>
      </c>
      <c r="M188" s="2" t="s">
        <v>10</v>
      </c>
      <c r="N188" s="2" t="s">
        <v>10</v>
      </c>
      <c r="O188" s="2" t="s">
        <v>10</v>
      </c>
    </row>
    <row r="189" spans="1:15" x14ac:dyDescent="0.3">
      <c r="A189" s="2" t="s">
        <v>51</v>
      </c>
      <c r="B189" s="2" t="s">
        <v>21</v>
      </c>
      <c r="C189" s="2" t="s">
        <v>4</v>
      </c>
      <c r="D189" s="7">
        <v>44229</v>
      </c>
      <c r="E189" s="2">
        <v>0</v>
      </c>
      <c r="F189" s="2">
        <v>50.4</v>
      </c>
      <c r="G189" s="9">
        <v>-0.15079365079365092</v>
      </c>
      <c r="H189" s="8" t="s">
        <v>10</v>
      </c>
      <c r="I189" s="2" t="s">
        <v>10</v>
      </c>
      <c r="J189" s="2" t="s">
        <v>10</v>
      </c>
      <c r="K189" s="2" t="s">
        <v>10</v>
      </c>
      <c r="L189" s="2" t="s">
        <v>10</v>
      </c>
      <c r="M189" s="2" t="s">
        <v>10</v>
      </c>
      <c r="N189" s="2" t="s">
        <v>10</v>
      </c>
      <c r="O189" s="2" t="s">
        <v>10</v>
      </c>
    </row>
    <row r="190" spans="1:15" x14ac:dyDescent="0.3">
      <c r="A190" s="2" t="s">
        <v>51</v>
      </c>
      <c r="B190" s="2" t="s">
        <v>22</v>
      </c>
      <c r="C190" s="2" t="s">
        <v>5</v>
      </c>
      <c r="D190" s="7">
        <v>44229</v>
      </c>
      <c r="E190" s="2">
        <v>0</v>
      </c>
      <c r="F190" s="2">
        <v>63.4</v>
      </c>
      <c r="G190" s="9">
        <v>-7.8864353312303015E-2</v>
      </c>
      <c r="H190" s="8" t="s">
        <v>10</v>
      </c>
      <c r="I190" s="2" t="s">
        <v>10</v>
      </c>
      <c r="J190" s="2" t="s">
        <v>10</v>
      </c>
      <c r="K190" s="2" t="s">
        <v>10</v>
      </c>
      <c r="L190" s="2" t="s">
        <v>10</v>
      </c>
      <c r="M190" s="2" t="s">
        <v>10</v>
      </c>
      <c r="N190" s="2" t="s">
        <v>10</v>
      </c>
      <c r="O190" s="2" t="s">
        <v>10</v>
      </c>
    </row>
    <row r="191" spans="1:15" x14ac:dyDescent="0.3">
      <c r="A191" s="2" t="s">
        <v>51</v>
      </c>
      <c r="B191" s="2" t="s">
        <v>23</v>
      </c>
      <c r="C191" s="2" t="s">
        <v>4</v>
      </c>
      <c r="D191" s="7">
        <v>44229</v>
      </c>
      <c r="E191" s="2">
        <v>0</v>
      </c>
      <c r="F191" s="2">
        <v>48.8</v>
      </c>
      <c r="G191" s="9">
        <v>3.2786885245901565E-2</v>
      </c>
      <c r="H191" s="8" t="s">
        <v>10</v>
      </c>
      <c r="I191" s="2" t="s">
        <v>10</v>
      </c>
      <c r="J191" s="2" t="s">
        <v>10</v>
      </c>
      <c r="K191" s="2" t="s">
        <v>10</v>
      </c>
      <c r="L191" s="2" t="s">
        <v>10</v>
      </c>
      <c r="M191" s="2" t="s">
        <v>10</v>
      </c>
      <c r="N191" s="2" t="s">
        <v>10</v>
      </c>
      <c r="O191" s="2" t="s">
        <v>10</v>
      </c>
    </row>
    <row r="192" spans="1:15" x14ac:dyDescent="0.3">
      <c r="A192" s="2" t="s">
        <v>51</v>
      </c>
      <c r="B192" s="2" t="s">
        <v>24</v>
      </c>
      <c r="C192" s="2" t="s">
        <v>5</v>
      </c>
      <c r="D192" s="7">
        <v>44229</v>
      </c>
      <c r="E192" s="2">
        <v>0</v>
      </c>
      <c r="F192" s="2">
        <v>75.199999999999989</v>
      </c>
      <c r="G192" s="9">
        <v>-6.9148936170212894E-2</v>
      </c>
      <c r="H192" s="8" t="s">
        <v>10</v>
      </c>
      <c r="I192" s="2" t="s">
        <v>10</v>
      </c>
      <c r="J192" s="2" t="s">
        <v>10</v>
      </c>
      <c r="K192" s="2" t="s">
        <v>10</v>
      </c>
      <c r="L192" s="2" t="s">
        <v>10</v>
      </c>
      <c r="M192" s="2" t="s">
        <v>10</v>
      </c>
      <c r="N192" s="2" t="s">
        <v>10</v>
      </c>
      <c r="O192" s="2" t="s">
        <v>10</v>
      </c>
    </row>
    <row r="193" spans="1:15" x14ac:dyDescent="0.3">
      <c r="A193" s="2" t="s">
        <v>51</v>
      </c>
      <c r="B193" s="2" t="s">
        <v>25</v>
      </c>
      <c r="C193" s="2" t="s">
        <v>4</v>
      </c>
      <c r="D193" s="7">
        <v>44229</v>
      </c>
      <c r="E193" s="2">
        <v>0</v>
      </c>
      <c r="F193" s="2">
        <v>60</v>
      </c>
      <c r="G193" s="9">
        <v>-9.6666666666666679E-2</v>
      </c>
      <c r="H193" s="8" t="s">
        <v>10</v>
      </c>
      <c r="I193" s="2" t="s">
        <v>10</v>
      </c>
      <c r="J193" s="2" t="s">
        <v>10</v>
      </c>
      <c r="K193" s="2" t="s">
        <v>10</v>
      </c>
      <c r="L193" s="2" t="s">
        <v>10</v>
      </c>
      <c r="M193" s="2" t="s">
        <v>10</v>
      </c>
      <c r="N193" s="2" t="s">
        <v>10</v>
      </c>
      <c r="O193" s="2" t="s">
        <v>10</v>
      </c>
    </row>
    <row r="194" spans="1:15" x14ac:dyDescent="0.3">
      <c r="A194" s="2" t="s">
        <v>52</v>
      </c>
      <c r="B194" s="2" t="s">
        <v>26</v>
      </c>
      <c r="C194" s="2" t="s">
        <v>4</v>
      </c>
      <c r="D194" s="7">
        <v>44229</v>
      </c>
      <c r="E194" s="2">
        <v>0</v>
      </c>
      <c r="F194" s="2">
        <v>48</v>
      </c>
      <c r="G194" s="9">
        <v>-4.5833333333333393E-2</v>
      </c>
      <c r="H194" s="8" t="s">
        <v>10</v>
      </c>
      <c r="I194" s="2" t="s">
        <v>10</v>
      </c>
      <c r="J194" s="2" t="s">
        <v>10</v>
      </c>
      <c r="K194" s="2" t="s">
        <v>10</v>
      </c>
      <c r="L194" s="2" t="s">
        <v>10</v>
      </c>
      <c r="M194" s="2" t="s">
        <v>10</v>
      </c>
      <c r="N194" s="2" t="s">
        <v>10</v>
      </c>
      <c r="O194" s="2" t="s">
        <v>10</v>
      </c>
    </row>
    <row r="195" spans="1:15" x14ac:dyDescent="0.3">
      <c r="A195" s="2" t="s">
        <v>52</v>
      </c>
      <c r="B195" s="2" t="s">
        <v>27</v>
      </c>
      <c r="C195" s="2" t="s">
        <v>5</v>
      </c>
      <c r="D195" s="7">
        <v>44229</v>
      </c>
      <c r="E195" s="2">
        <v>0</v>
      </c>
      <c r="F195" s="2">
        <v>52.8</v>
      </c>
      <c r="G195" s="9">
        <v>-3.0303030303030498E-2</v>
      </c>
      <c r="H195" s="8" t="s">
        <v>10</v>
      </c>
      <c r="I195" s="2" t="s">
        <v>10</v>
      </c>
      <c r="J195" s="2" t="s">
        <v>10</v>
      </c>
      <c r="K195" s="2" t="s">
        <v>10</v>
      </c>
      <c r="L195" s="2" t="s">
        <v>10</v>
      </c>
      <c r="M195" s="2" t="s">
        <v>10</v>
      </c>
      <c r="N195" s="2" t="s">
        <v>10</v>
      </c>
      <c r="O195" s="2" t="s">
        <v>10</v>
      </c>
    </row>
    <row r="196" spans="1:15" x14ac:dyDescent="0.3">
      <c r="A196" s="2" t="s">
        <v>52</v>
      </c>
      <c r="B196" s="2" t="s">
        <v>28</v>
      </c>
      <c r="C196" s="2" t="s">
        <v>5</v>
      </c>
      <c r="D196" s="7">
        <v>44229</v>
      </c>
      <c r="E196" s="2">
        <v>0</v>
      </c>
      <c r="F196" s="2">
        <v>71</v>
      </c>
      <c r="G196" s="9">
        <v>-8.7323943661971937E-2</v>
      </c>
      <c r="H196" s="8" t="s">
        <v>10</v>
      </c>
      <c r="I196" s="2" t="s">
        <v>10</v>
      </c>
      <c r="J196" s="2" t="s">
        <v>10</v>
      </c>
      <c r="K196" s="2" t="s">
        <v>10</v>
      </c>
      <c r="L196" s="2" t="s">
        <v>10</v>
      </c>
      <c r="M196" s="2" t="s">
        <v>10</v>
      </c>
      <c r="N196" s="2" t="s">
        <v>10</v>
      </c>
      <c r="O196" s="2" t="s">
        <v>10</v>
      </c>
    </row>
    <row r="197" spans="1:15" x14ac:dyDescent="0.3">
      <c r="A197" s="2" t="s">
        <v>53</v>
      </c>
      <c r="B197" s="2" t="s">
        <v>29</v>
      </c>
      <c r="C197" s="2" t="s">
        <v>4</v>
      </c>
      <c r="D197" s="7">
        <v>44229</v>
      </c>
      <c r="E197" s="2">
        <v>0</v>
      </c>
      <c r="F197" s="2">
        <v>49</v>
      </c>
      <c r="G197" s="9">
        <v>-0.15102040816326534</v>
      </c>
      <c r="H197" s="8" t="s">
        <v>10</v>
      </c>
      <c r="I197" s="2" t="s">
        <v>10</v>
      </c>
      <c r="J197" s="2" t="s">
        <v>10</v>
      </c>
      <c r="K197" s="2" t="s">
        <v>10</v>
      </c>
      <c r="L197" s="2" t="s">
        <v>10</v>
      </c>
      <c r="M197" s="2" t="s">
        <v>10</v>
      </c>
      <c r="N197" s="2" t="s">
        <v>10</v>
      </c>
      <c r="O197" s="2" t="s">
        <v>10</v>
      </c>
    </row>
    <row r="198" spans="1:15" x14ac:dyDescent="0.3">
      <c r="A198" s="2" t="s">
        <v>53</v>
      </c>
      <c r="B198" s="2" t="s">
        <v>30</v>
      </c>
      <c r="C198" s="2" t="s">
        <v>5</v>
      </c>
      <c r="D198" s="7">
        <v>44229</v>
      </c>
      <c r="E198" s="2">
        <v>0</v>
      </c>
      <c r="F198" s="2">
        <v>51.8</v>
      </c>
      <c r="G198" s="9">
        <v>-0.13127413127413123</v>
      </c>
      <c r="H198" s="8" t="s">
        <v>10</v>
      </c>
      <c r="I198" s="2" t="s">
        <v>10</v>
      </c>
      <c r="J198" s="2" t="s">
        <v>10</v>
      </c>
      <c r="K198" s="2" t="s">
        <v>10</v>
      </c>
      <c r="L198" s="2" t="s">
        <v>10</v>
      </c>
      <c r="M198" s="2" t="s">
        <v>10</v>
      </c>
      <c r="N198" s="2" t="s">
        <v>10</v>
      </c>
      <c r="O198" s="2" t="s">
        <v>10</v>
      </c>
    </row>
    <row r="199" spans="1:15" x14ac:dyDescent="0.3">
      <c r="A199" s="2" t="s">
        <v>53</v>
      </c>
      <c r="B199" s="2" t="s">
        <v>31</v>
      </c>
      <c r="C199" s="2" t="s">
        <v>4</v>
      </c>
      <c r="D199" s="7">
        <v>44229</v>
      </c>
      <c r="E199" s="2">
        <v>0</v>
      </c>
      <c r="F199" s="2">
        <v>45</v>
      </c>
      <c r="G199" s="9">
        <v>-9.333333333333349E-2</v>
      </c>
      <c r="H199" s="8" t="s">
        <v>10</v>
      </c>
      <c r="I199" s="2" t="s">
        <v>10</v>
      </c>
      <c r="J199" s="2" t="s">
        <v>10</v>
      </c>
      <c r="K199" s="2" t="s">
        <v>10</v>
      </c>
      <c r="L199" s="2" t="s">
        <v>10</v>
      </c>
      <c r="M199" s="2" t="s">
        <v>10</v>
      </c>
      <c r="N199" s="2" t="s">
        <v>10</v>
      </c>
      <c r="O199" s="2" t="s">
        <v>10</v>
      </c>
    </row>
    <row r="200" spans="1:15" x14ac:dyDescent="0.3">
      <c r="A200" s="2" t="s">
        <v>53</v>
      </c>
      <c r="B200" s="2" t="s">
        <v>32</v>
      </c>
      <c r="C200" s="2" t="s">
        <v>5</v>
      </c>
      <c r="D200" s="7">
        <v>44229</v>
      </c>
      <c r="E200" s="2">
        <v>0</v>
      </c>
      <c r="F200" s="2">
        <v>56.599999999999994</v>
      </c>
      <c r="G200" s="9">
        <v>-0.14487632508833936</v>
      </c>
      <c r="H200" s="8" t="s">
        <v>10</v>
      </c>
      <c r="I200" s="2" t="s">
        <v>10</v>
      </c>
      <c r="J200" s="2" t="s">
        <v>10</v>
      </c>
      <c r="K200" s="2" t="s">
        <v>10</v>
      </c>
      <c r="L200" s="2" t="s">
        <v>10</v>
      </c>
      <c r="M200" s="2" t="s">
        <v>10</v>
      </c>
      <c r="N200" s="2" t="s">
        <v>10</v>
      </c>
      <c r="O200" s="2" t="s">
        <v>10</v>
      </c>
    </row>
    <row r="201" spans="1:15" x14ac:dyDescent="0.3">
      <c r="A201" s="2" t="s">
        <v>53</v>
      </c>
      <c r="B201" s="2" t="s">
        <v>33</v>
      </c>
      <c r="C201" s="2" t="s">
        <v>4</v>
      </c>
      <c r="D201" s="7">
        <v>44229</v>
      </c>
      <c r="E201" s="2">
        <v>0</v>
      </c>
      <c r="F201" s="2">
        <v>60</v>
      </c>
      <c r="G201" s="9">
        <v>-5.9999999999999831E-2</v>
      </c>
      <c r="H201" s="8" t="s">
        <v>10</v>
      </c>
      <c r="I201" s="2" t="s">
        <v>10</v>
      </c>
      <c r="J201" s="2" t="s">
        <v>10</v>
      </c>
      <c r="K201" s="2" t="s">
        <v>10</v>
      </c>
      <c r="L201" s="2" t="s">
        <v>10</v>
      </c>
      <c r="M201" s="2" t="s">
        <v>10</v>
      </c>
      <c r="N201" s="2" t="s">
        <v>10</v>
      </c>
      <c r="O201" s="2" t="s">
        <v>10</v>
      </c>
    </row>
    <row r="202" spans="1:15" x14ac:dyDescent="0.3">
      <c r="A202" s="2" t="s">
        <v>53</v>
      </c>
      <c r="B202" s="2" t="s">
        <v>34</v>
      </c>
      <c r="C202" s="2" t="s">
        <v>5</v>
      </c>
      <c r="D202" s="7">
        <v>44229</v>
      </c>
      <c r="E202" s="2">
        <v>0</v>
      </c>
      <c r="F202" s="2">
        <v>46</v>
      </c>
      <c r="G202" s="9">
        <v>-0.15217391304347827</v>
      </c>
      <c r="H202" s="8" t="s">
        <v>10</v>
      </c>
      <c r="I202" s="2" t="s">
        <v>10</v>
      </c>
      <c r="J202" s="2" t="s">
        <v>10</v>
      </c>
      <c r="K202" s="2" t="s">
        <v>10</v>
      </c>
      <c r="L202" s="2" t="s">
        <v>10</v>
      </c>
      <c r="M202" s="2" t="s">
        <v>10</v>
      </c>
      <c r="N202" s="2" t="s">
        <v>10</v>
      </c>
      <c r="O202" s="2" t="s">
        <v>10</v>
      </c>
    </row>
    <row r="203" spans="1:15" x14ac:dyDescent="0.3">
      <c r="A203" s="2" t="s">
        <v>53</v>
      </c>
      <c r="B203" s="2" t="s">
        <v>35</v>
      </c>
      <c r="C203" s="2" t="s">
        <v>5</v>
      </c>
      <c r="D203" s="7">
        <v>44229</v>
      </c>
      <c r="E203" s="2">
        <v>0</v>
      </c>
      <c r="F203" s="2">
        <v>49.599999999999994</v>
      </c>
      <c r="G203" s="9">
        <v>-5.6451612903225978E-2</v>
      </c>
      <c r="H203" s="8" t="s">
        <v>10</v>
      </c>
      <c r="I203" s="2" t="s">
        <v>10</v>
      </c>
      <c r="J203" s="2" t="s">
        <v>10</v>
      </c>
      <c r="K203" s="2" t="s">
        <v>10</v>
      </c>
      <c r="L203" s="2" t="s">
        <v>10</v>
      </c>
      <c r="M203" s="2" t="s">
        <v>10</v>
      </c>
      <c r="N203" s="2" t="s">
        <v>10</v>
      </c>
      <c r="O203" s="2" t="s">
        <v>10</v>
      </c>
    </row>
    <row r="204" spans="1:15" x14ac:dyDescent="0.3">
      <c r="A204" s="2" t="s">
        <v>53</v>
      </c>
      <c r="B204" s="2" t="s">
        <v>36</v>
      </c>
      <c r="C204" s="2" t="s">
        <v>4</v>
      </c>
      <c r="D204" s="7">
        <v>44229</v>
      </c>
      <c r="E204" s="2">
        <v>0</v>
      </c>
      <c r="F204" s="2">
        <v>56.2</v>
      </c>
      <c r="G204" s="9">
        <v>-7.8291814946618965E-2</v>
      </c>
      <c r="H204" s="8" t="s">
        <v>10</v>
      </c>
      <c r="I204" s="2" t="s">
        <v>10</v>
      </c>
      <c r="J204" s="2" t="s">
        <v>10</v>
      </c>
      <c r="K204" s="2" t="s">
        <v>10</v>
      </c>
      <c r="L204" s="2" t="s">
        <v>10</v>
      </c>
      <c r="M204" s="2" t="s">
        <v>10</v>
      </c>
      <c r="N204" s="2" t="s">
        <v>10</v>
      </c>
      <c r="O204" s="2" t="s">
        <v>10</v>
      </c>
    </row>
    <row r="205" spans="1:15" x14ac:dyDescent="0.3">
      <c r="A205" s="2" t="s">
        <v>54</v>
      </c>
      <c r="B205" s="2" t="s">
        <v>37</v>
      </c>
      <c r="C205" s="2" t="s">
        <v>5</v>
      </c>
      <c r="D205" s="7">
        <v>44229</v>
      </c>
      <c r="E205" s="2">
        <v>0</v>
      </c>
      <c r="F205" s="2">
        <v>72</v>
      </c>
      <c r="G205" s="9">
        <v>-0.21666666666666656</v>
      </c>
      <c r="H205" s="8" t="s">
        <v>10</v>
      </c>
      <c r="I205" s="2" t="s">
        <v>10</v>
      </c>
      <c r="J205" s="2" t="s">
        <v>10</v>
      </c>
      <c r="K205" s="2" t="s">
        <v>10</v>
      </c>
      <c r="L205" s="2" t="s">
        <v>10</v>
      </c>
      <c r="M205" s="2" t="s">
        <v>10</v>
      </c>
      <c r="N205" s="2" t="s">
        <v>10</v>
      </c>
      <c r="O205" s="2" t="s">
        <v>10</v>
      </c>
    </row>
    <row r="206" spans="1:15" x14ac:dyDescent="0.3">
      <c r="A206" s="2" t="s">
        <v>54</v>
      </c>
      <c r="B206" s="2" t="s">
        <v>38</v>
      </c>
      <c r="C206" s="2" t="s">
        <v>4</v>
      </c>
      <c r="D206" s="7">
        <v>44229</v>
      </c>
      <c r="E206" s="2">
        <v>0</v>
      </c>
      <c r="F206" s="2">
        <v>73.8</v>
      </c>
      <c r="G206" s="9">
        <v>-4.8780487804878092E-2</v>
      </c>
      <c r="H206" s="8" t="s">
        <v>10</v>
      </c>
      <c r="I206" s="2" t="s">
        <v>10</v>
      </c>
      <c r="J206" s="2" t="s">
        <v>10</v>
      </c>
      <c r="K206" s="2" t="s">
        <v>10</v>
      </c>
      <c r="L206" s="2" t="s">
        <v>10</v>
      </c>
      <c r="M206" s="2" t="s">
        <v>10</v>
      </c>
      <c r="N206" s="2" t="s">
        <v>10</v>
      </c>
      <c r="O206" s="2" t="s">
        <v>10</v>
      </c>
    </row>
    <row r="207" spans="1:15" x14ac:dyDescent="0.3">
      <c r="A207" s="2" t="s">
        <v>54</v>
      </c>
      <c r="B207" s="2" t="s">
        <v>39</v>
      </c>
      <c r="C207" s="2" t="s">
        <v>5</v>
      </c>
      <c r="D207" s="7">
        <v>44229</v>
      </c>
      <c r="E207" s="2">
        <v>0</v>
      </c>
      <c r="F207" s="2">
        <v>62.8</v>
      </c>
      <c r="G207" s="9">
        <v>-9.5541401273885329E-2</v>
      </c>
      <c r="H207" s="8" t="s">
        <v>10</v>
      </c>
      <c r="I207" s="2" t="s">
        <v>10</v>
      </c>
      <c r="J207" s="2" t="s">
        <v>10</v>
      </c>
      <c r="K207" s="2" t="s">
        <v>10</v>
      </c>
      <c r="L207" s="2" t="s">
        <v>10</v>
      </c>
      <c r="M207" s="2" t="s">
        <v>10</v>
      </c>
      <c r="N207" s="2" t="s">
        <v>10</v>
      </c>
      <c r="O207" s="2" t="s">
        <v>10</v>
      </c>
    </row>
    <row r="208" spans="1:15" x14ac:dyDescent="0.3">
      <c r="A208" s="2" t="s">
        <v>55</v>
      </c>
      <c r="B208" s="2" t="s">
        <v>40</v>
      </c>
      <c r="C208" s="2" t="s">
        <v>4</v>
      </c>
      <c r="D208" s="7">
        <v>44229</v>
      </c>
      <c r="E208" s="2">
        <v>0</v>
      </c>
      <c r="F208" s="2">
        <v>65.400000000000006</v>
      </c>
      <c r="G208" s="9">
        <v>-9.7859327217125536E-2</v>
      </c>
      <c r="H208" s="8" t="s">
        <v>10</v>
      </c>
      <c r="I208" s="2" t="s">
        <v>10</v>
      </c>
      <c r="J208" s="2" t="s">
        <v>10</v>
      </c>
      <c r="K208" s="2" t="s">
        <v>10</v>
      </c>
      <c r="L208" s="2" t="s">
        <v>10</v>
      </c>
      <c r="M208" s="2" t="s">
        <v>10</v>
      </c>
      <c r="N208" s="2" t="s">
        <v>10</v>
      </c>
      <c r="O208" s="2" t="s">
        <v>10</v>
      </c>
    </row>
    <row r="209" spans="1:15" x14ac:dyDescent="0.3">
      <c r="A209" s="2" t="s">
        <v>55</v>
      </c>
      <c r="B209" s="2" t="s">
        <v>41</v>
      </c>
      <c r="C209" s="2" t="s">
        <v>5</v>
      </c>
      <c r="D209" s="7">
        <v>44229</v>
      </c>
      <c r="E209" s="2">
        <v>0</v>
      </c>
      <c r="F209" s="2">
        <v>52.599999999999994</v>
      </c>
      <c r="G209" s="9">
        <v>-0.19391634980988592</v>
      </c>
      <c r="H209" s="8" t="s">
        <v>10</v>
      </c>
      <c r="I209" s="2" t="s">
        <v>10</v>
      </c>
      <c r="J209" s="2" t="s">
        <v>10</v>
      </c>
      <c r="K209" s="2" t="s">
        <v>10</v>
      </c>
      <c r="L209" s="2" t="s">
        <v>10</v>
      </c>
      <c r="M209" s="2" t="s">
        <v>10</v>
      </c>
      <c r="N209" s="2" t="s">
        <v>10</v>
      </c>
      <c r="O209" s="2" t="s">
        <v>10</v>
      </c>
    </row>
    <row r="210" spans="1:15" x14ac:dyDescent="0.3">
      <c r="A210" s="2" t="s">
        <v>55</v>
      </c>
      <c r="B210" s="2" t="s">
        <v>42</v>
      </c>
      <c r="C210" s="2" t="s">
        <v>5</v>
      </c>
      <c r="D210" s="7">
        <v>44229</v>
      </c>
      <c r="E210" s="2">
        <v>0</v>
      </c>
      <c r="F210" s="2">
        <v>54.8</v>
      </c>
      <c r="G210" s="9">
        <v>-0.21897810218978098</v>
      </c>
      <c r="H210" s="8" t="s">
        <v>10</v>
      </c>
      <c r="I210" s="2" t="s">
        <v>10</v>
      </c>
      <c r="J210" s="2" t="s">
        <v>10</v>
      </c>
      <c r="K210" s="2" t="s">
        <v>10</v>
      </c>
      <c r="L210" s="2" t="s">
        <v>10</v>
      </c>
      <c r="M210" s="2" t="s">
        <v>10</v>
      </c>
      <c r="N210" s="2" t="s">
        <v>10</v>
      </c>
      <c r="O210" s="2" t="s">
        <v>10</v>
      </c>
    </row>
    <row r="211" spans="1:15" x14ac:dyDescent="0.3">
      <c r="A211" s="2" t="s">
        <v>55</v>
      </c>
      <c r="B211" s="2" t="s">
        <v>43</v>
      </c>
      <c r="C211" s="2" t="s">
        <v>4</v>
      </c>
      <c r="D211" s="7">
        <v>44229</v>
      </c>
      <c r="E211" s="2">
        <v>0</v>
      </c>
      <c r="F211" s="2">
        <v>60.4</v>
      </c>
      <c r="G211" s="9">
        <v>-0.16556291390728495</v>
      </c>
      <c r="H211" s="8" t="s">
        <v>10</v>
      </c>
      <c r="I211" s="2" t="s">
        <v>10</v>
      </c>
      <c r="J211" s="2" t="s">
        <v>10</v>
      </c>
      <c r="K211" s="2" t="s">
        <v>10</v>
      </c>
      <c r="L211" s="2" t="s">
        <v>10</v>
      </c>
      <c r="M211" s="2" t="s">
        <v>10</v>
      </c>
      <c r="N211" s="2" t="s">
        <v>10</v>
      </c>
      <c r="O211" s="2" t="s">
        <v>10</v>
      </c>
    </row>
    <row r="212" spans="1:15" x14ac:dyDescent="0.3">
      <c r="A212" s="2" t="s">
        <v>56</v>
      </c>
      <c r="B212" s="2" t="s">
        <v>44</v>
      </c>
      <c r="C212" s="2" t="s">
        <v>5</v>
      </c>
      <c r="D212" s="7">
        <v>44229</v>
      </c>
      <c r="E212" s="2">
        <v>0</v>
      </c>
      <c r="F212" s="2">
        <v>65</v>
      </c>
      <c r="G212" s="9">
        <v>-9.5384615384615179E-2</v>
      </c>
      <c r="H212" s="8" t="s">
        <v>10</v>
      </c>
      <c r="I212" s="2" t="s">
        <v>10</v>
      </c>
      <c r="J212" s="2" t="s">
        <v>10</v>
      </c>
      <c r="K212" s="2" t="s">
        <v>10</v>
      </c>
      <c r="L212" s="2" t="s">
        <v>10</v>
      </c>
      <c r="M212" s="2" t="s">
        <v>10</v>
      </c>
      <c r="N212" s="2" t="s">
        <v>10</v>
      </c>
      <c r="O212" s="2" t="s">
        <v>10</v>
      </c>
    </row>
    <row r="213" spans="1:15" x14ac:dyDescent="0.3">
      <c r="A213" s="2" t="s">
        <v>56</v>
      </c>
      <c r="B213" s="2" t="s">
        <v>45</v>
      </c>
      <c r="C213" s="2" t="s">
        <v>4</v>
      </c>
      <c r="D213" s="7">
        <v>44229</v>
      </c>
      <c r="E213" s="2">
        <v>0</v>
      </c>
      <c r="F213" s="2">
        <v>67</v>
      </c>
      <c r="G213" s="9">
        <v>-0.31044776119402973</v>
      </c>
      <c r="H213" s="8" t="s">
        <v>10</v>
      </c>
      <c r="I213" s="2" t="s">
        <v>10</v>
      </c>
      <c r="J213" s="2" t="s">
        <v>10</v>
      </c>
      <c r="K213" s="2" t="s">
        <v>10</v>
      </c>
      <c r="L213" s="2" t="s">
        <v>10</v>
      </c>
      <c r="M213" s="2" t="s">
        <v>10</v>
      </c>
      <c r="N213" s="2" t="s">
        <v>10</v>
      </c>
      <c r="O213" s="2" t="s">
        <v>10</v>
      </c>
    </row>
    <row r="214" spans="1:15" x14ac:dyDescent="0.3">
      <c r="A214" s="2" t="s">
        <v>56</v>
      </c>
      <c r="B214" s="2" t="s">
        <v>46</v>
      </c>
      <c r="C214" s="2" t="s">
        <v>4</v>
      </c>
      <c r="D214" s="7">
        <v>44229</v>
      </c>
      <c r="E214" s="2">
        <v>0</v>
      </c>
      <c r="F214" s="2">
        <v>48</v>
      </c>
      <c r="G214" s="9">
        <v>-0.23333333333333339</v>
      </c>
      <c r="H214" s="8" t="s">
        <v>10</v>
      </c>
      <c r="I214" s="2" t="s">
        <v>10</v>
      </c>
      <c r="J214" s="2" t="s">
        <v>10</v>
      </c>
      <c r="K214" s="2" t="s">
        <v>10</v>
      </c>
      <c r="L214" s="2" t="s">
        <v>10</v>
      </c>
      <c r="M214" s="2" t="s">
        <v>10</v>
      </c>
      <c r="N214" s="2" t="s">
        <v>10</v>
      </c>
      <c r="O214" s="2" t="s">
        <v>10</v>
      </c>
    </row>
    <row r="215" spans="1:15" x14ac:dyDescent="0.3">
      <c r="A215" s="2" t="s">
        <v>56</v>
      </c>
      <c r="B215" s="2" t="s">
        <v>47</v>
      </c>
      <c r="C215" s="2" t="s">
        <v>5</v>
      </c>
      <c r="D215" s="7">
        <v>44229</v>
      </c>
      <c r="E215" s="2">
        <v>0</v>
      </c>
      <c r="F215" s="2">
        <v>53.2</v>
      </c>
      <c r="G215" s="9">
        <v>-7.8947368421052655E-2</v>
      </c>
      <c r="H215" s="8" t="s">
        <v>10</v>
      </c>
      <c r="I215" s="2" t="s">
        <v>10</v>
      </c>
      <c r="J215" s="2" t="s">
        <v>10</v>
      </c>
      <c r="K215" s="2" t="s">
        <v>10</v>
      </c>
      <c r="L215" s="2" t="s">
        <v>10</v>
      </c>
      <c r="M215" s="2" t="s">
        <v>10</v>
      </c>
      <c r="N215" s="2" t="s">
        <v>10</v>
      </c>
      <c r="O215" s="2" t="s">
        <v>10</v>
      </c>
    </row>
    <row r="216" spans="1:15" x14ac:dyDescent="0.3">
      <c r="A216" s="2" t="s">
        <v>56</v>
      </c>
      <c r="B216" s="2" t="s">
        <v>48</v>
      </c>
      <c r="C216" s="2" t="s">
        <v>4</v>
      </c>
      <c r="D216" s="7">
        <v>44229</v>
      </c>
      <c r="E216" s="2">
        <v>0</v>
      </c>
      <c r="F216" s="2">
        <v>46.2</v>
      </c>
      <c r="G216" s="9">
        <v>-0.30303030303030298</v>
      </c>
      <c r="H216" s="8" t="s">
        <v>10</v>
      </c>
      <c r="I216" s="2" t="s">
        <v>10</v>
      </c>
      <c r="J216" s="2" t="s">
        <v>10</v>
      </c>
      <c r="K216" s="2" t="s">
        <v>10</v>
      </c>
      <c r="L216" s="2" t="s">
        <v>10</v>
      </c>
      <c r="M216" s="2" t="s">
        <v>10</v>
      </c>
      <c r="N216" s="2" t="s">
        <v>10</v>
      </c>
      <c r="O216" s="2" t="s">
        <v>10</v>
      </c>
    </row>
    <row r="217" spans="1:15" x14ac:dyDescent="0.3">
      <c r="A217" s="2" t="s">
        <v>49</v>
      </c>
      <c r="B217" s="2" t="s">
        <v>3</v>
      </c>
      <c r="C217" s="2" t="s">
        <v>4</v>
      </c>
      <c r="D217" s="7">
        <v>44249</v>
      </c>
      <c r="E217" s="2">
        <v>0</v>
      </c>
      <c r="F217" s="2">
        <v>69.858233333333317</v>
      </c>
      <c r="G217" s="9">
        <v>9.5310645798371452E-2</v>
      </c>
      <c r="H217" s="8" t="s">
        <v>10</v>
      </c>
      <c r="I217" s="2" t="s">
        <v>10</v>
      </c>
      <c r="J217" s="2" t="s">
        <v>10</v>
      </c>
      <c r="K217" s="2" t="s">
        <v>10</v>
      </c>
      <c r="L217" s="2" t="s">
        <v>10</v>
      </c>
      <c r="M217" s="2" t="s">
        <v>10</v>
      </c>
      <c r="N217" s="2" t="s">
        <v>10</v>
      </c>
      <c r="O217" s="2" t="s">
        <v>10</v>
      </c>
    </row>
    <row r="218" spans="1:15" x14ac:dyDescent="0.3">
      <c r="A218" s="2" t="s">
        <v>49</v>
      </c>
      <c r="B218" s="2" t="s">
        <v>6</v>
      </c>
      <c r="C218" s="2" t="s">
        <v>5</v>
      </c>
      <c r="D218" s="7">
        <v>44249</v>
      </c>
      <c r="E218" s="2">
        <v>0</v>
      </c>
      <c r="F218" s="2">
        <v>63.166666666666664</v>
      </c>
      <c r="G218" s="9">
        <v>8.1794195250659563E-2</v>
      </c>
      <c r="H218" s="8" t="s">
        <v>10</v>
      </c>
      <c r="I218" s="2" t="s">
        <v>10</v>
      </c>
      <c r="J218" s="2" t="s">
        <v>10</v>
      </c>
      <c r="K218" s="2" t="s">
        <v>10</v>
      </c>
      <c r="L218" s="2" t="s">
        <v>10</v>
      </c>
      <c r="M218" s="2" t="s">
        <v>10</v>
      </c>
      <c r="N218" s="2" t="s">
        <v>10</v>
      </c>
      <c r="O218" s="2" t="s">
        <v>10</v>
      </c>
    </row>
    <row r="219" spans="1:15" x14ac:dyDescent="0.3">
      <c r="A219" s="2" t="s">
        <v>49</v>
      </c>
      <c r="B219" s="2" t="s">
        <v>7</v>
      </c>
      <c r="C219" s="2" t="s">
        <v>4</v>
      </c>
      <c r="D219" s="7">
        <v>44249</v>
      </c>
      <c r="E219" s="2">
        <v>0</v>
      </c>
      <c r="F219" s="2">
        <v>49.746166666666667</v>
      </c>
      <c r="G219" s="9">
        <v>-0.1176740586376841</v>
      </c>
      <c r="H219" s="8" t="s">
        <v>10</v>
      </c>
      <c r="I219" s="2" t="s">
        <v>10</v>
      </c>
      <c r="J219" s="2" t="s">
        <v>10</v>
      </c>
      <c r="K219" s="2" t="s">
        <v>10</v>
      </c>
      <c r="L219" s="2" t="s">
        <v>10</v>
      </c>
      <c r="M219" s="2" t="s">
        <v>10</v>
      </c>
      <c r="N219" s="2" t="s">
        <v>10</v>
      </c>
      <c r="O219" s="2" t="s">
        <v>10</v>
      </c>
    </row>
    <row r="220" spans="1:15" x14ac:dyDescent="0.3">
      <c r="A220" s="2" t="s">
        <v>49</v>
      </c>
      <c r="B220" s="2" t="s">
        <v>8</v>
      </c>
      <c r="C220" s="2" t="s">
        <v>5</v>
      </c>
      <c r="D220" s="7">
        <v>44249</v>
      </c>
      <c r="E220" s="2">
        <v>0</v>
      </c>
      <c r="F220" s="2">
        <v>58.000000000000007</v>
      </c>
      <c r="G220" s="9">
        <v>-0.1206896551724137</v>
      </c>
      <c r="H220" s="8" t="s">
        <v>10</v>
      </c>
      <c r="I220" s="2" t="s">
        <v>10</v>
      </c>
      <c r="J220" s="2" t="s">
        <v>10</v>
      </c>
      <c r="K220" s="2" t="s">
        <v>10</v>
      </c>
      <c r="L220" s="2" t="s">
        <v>10</v>
      </c>
      <c r="M220" s="2" t="s">
        <v>10</v>
      </c>
      <c r="N220" s="2" t="s">
        <v>10</v>
      </c>
      <c r="O220" s="2" t="s">
        <v>10</v>
      </c>
    </row>
    <row r="221" spans="1:15" x14ac:dyDescent="0.3">
      <c r="A221" s="2" t="s">
        <v>50</v>
      </c>
      <c r="B221" s="2" t="s">
        <v>9</v>
      </c>
      <c r="C221" s="2" t="s">
        <v>4</v>
      </c>
      <c r="D221" s="7">
        <v>44249</v>
      </c>
      <c r="E221" s="2">
        <v>1</v>
      </c>
      <c r="F221" s="2" t="s">
        <v>10</v>
      </c>
      <c r="G221" s="9" t="s">
        <v>10</v>
      </c>
      <c r="H221" s="8" t="s">
        <v>10</v>
      </c>
      <c r="I221" s="2" t="s">
        <v>10</v>
      </c>
      <c r="J221" s="2" t="s">
        <v>10</v>
      </c>
      <c r="K221" s="2" t="s">
        <v>10</v>
      </c>
      <c r="L221" s="2" t="s">
        <v>10</v>
      </c>
      <c r="M221" s="2" t="s">
        <v>10</v>
      </c>
      <c r="N221" s="2" t="s">
        <v>10</v>
      </c>
      <c r="O221" s="2" t="s">
        <v>10</v>
      </c>
    </row>
    <row r="222" spans="1:15" x14ac:dyDescent="0.3">
      <c r="A222" s="2" t="s">
        <v>50</v>
      </c>
      <c r="B222" s="2" t="s">
        <v>11</v>
      </c>
      <c r="C222" s="2" t="s">
        <v>5</v>
      </c>
      <c r="D222" s="7">
        <v>44249</v>
      </c>
      <c r="E222" s="2">
        <v>0</v>
      </c>
      <c r="F222" s="2">
        <v>66.3</v>
      </c>
      <c r="G222" s="9">
        <v>-0.10708898944193068</v>
      </c>
      <c r="H222" s="8" t="s">
        <v>10</v>
      </c>
      <c r="I222" s="2" t="s">
        <v>10</v>
      </c>
      <c r="J222" s="2" t="s">
        <v>10</v>
      </c>
      <c r="K222" s="2" t="s">
        <v>10</v>
      </c>
      <c r="L222" s="2" t="s">
        <v>10</v>
      </c>
      <c r="M222" s="2" t="s">
        <v>10</v>
      </c>
      <c r="N222" s="2" t="s">
        <v>10</v>
      </c>
      <c r="O222" s="2" t="s">
        <v>10</v>
      </c>
    </row>
    <row r="223" spans="1:15" x14ac:dyDescent="0.3">
      <c r="A223" s="2" t="s">
        <v>50</v>
      </c>
      <c r="B223" s="2" t="s">
        <v>12</v>
      </c>
      <c r="C223" s="2" t="s">
        <v>5</v>
      </c>
      <c r="D223" s="7">
        <v>44249</v>
      </c>
      <c r="E223" s="2">
        <v>0</v>
      </c>
      <c r="F223" s="2">
        <v>63.533333333333339</v>
      </c>
      <c r="G223" s="9">
        <v>-8.9192025183630452E-2</v>
      </c>
      <c r="H223" s="8" t="s">
        <v>10</v>
      </c>
      <c r="I223" s="2" t="s">
        <v>10</v>
      </c>
      <c r="J223" s="2" t="s">
        <v>10</v>
      </c>
      <c r="K223" s="2" t="s">
        <v>10</v>
      </c>
      <c r="L223" s="2" t="s">
        <v>10</v>
      </c>
      <c r="M223" s="2" t="s">
        <v>10</v>
      </c>
      <c r="N223" s="2" t="s">
        <v>10</v>
      </c>
      <c r="O223" s="2" t="s">
        <v>10</v>
      </c>
    </row>
    <row r="224" spans="1:15" x14ac:dyDescent="0.3">
      <c r="A224" s="2" t="s">
        <v>50</v>
      </c>
      <c r="B224" s="2" t="s">
        <v>13</v>
      </c>
      <c r="C224" s="2" t="s">
        <v>4</v>
      </c>
      <c r="D224" s="7">
        <v>44249</v>
      </c>
      <c r="E224" s="2">
        <v>0</v>
      </c>
      <c r="F224" s="2">
        <v>47.464800000000004</v>
      </c>
      <c r="G224" s="9">
        <v>-0.41999966290809199</v>
      </c>
      <c r="H224" s="8" t="s">
        <v>10</v>
      </c>
      <c r="I224" s="2" t="s">
        <v>10</v>
      </c>
      <c r="J224" s="2" t="s">
        <v>10</v>
      </c>
      <c r="K224" s="2" t="s">
        <v>10</v>
      </c>
      <c r="L224" s="2" t="s">
        <v>10</v>
      </c>
      <c r="M224" s="2" t="s">
        <v>10</v>
      </c>
      <c r="N224" s="2" t="s">
        <v>10</v>
      </c>
      <c r="O224" s="2" t="s">
        <v>10</v>
      </c>
    </row>
    <row r="225" spans="1:15" x14ac:dyDescent="0.3">
      <c r="A225" s="2" t="s">
        <v>50</v>
      </c>
      <c r="B225" s="2" t="s">
        <v>14</v>
      </c>
      <c r="C225" s="2" t="s">
        <v>4</v>
      </c>
      <c r="D225" s="7">
        <v>44249</v>
      </c>
      <c r="E225" s="2">
        <v>0</v>
      </c>
      <c r="F225" s="2">
        <v>47.936</v>
      </c>
      <c r="G225" s="9">
        <v>-0.21411882510013358</v>
      </c>
      <c r="H225" s="8" t="s">
        <v>10</v>
      </c>
      <c r="I225" s="2" t="s">
        <v>10</v>
      </c>
      <c r="J225" s="2" t="s">
        <v>10</v>
      </c>
      <c r="K225" s="2" t="s">
        <v>10</v>
      </c>
      <c r="L225" s="2" t="s">
        <v>10</v>
      </c>
      <c r="M225" s="2" t="s">
        <v>10</v>
      </c>
      <c r="N225" s="2" t="s">
        <v>10</v>
      </c>
      <c r="O225" s="2" t="s">
        <v>10</v>
      </c>
    </row>
    <row r="226" spans="1:15" x14ac:dyDescent="0.3">
      <c r="A226" s="2" t="s">
        <v>50</v>
      </c>
      <c r="B226" s="2" t="s">
        <v>15</v>
      </c>
      <c r="C226" s="2" t="s">
        <v>5</v>
      </c>
      <c r="D226" s="7">
        <v>44249</v>
      </c>
      <c r="E226" s="2">
        <v>0</v>
      </c>
      <c r="F226" s="2">
        <v>59.900000000000006</v>
      </c>
      <c r="G226" s="9">
        <v>8.3472454090151027E-3</v>
      </c>
      <c r="H226" s="8" t="s">
        <v>10</v>
      </c>
      <c r="I226" s="2" t="s">
        <v>10</v>
      </c>
      <c r="J226" s="2" t="s">
        <v>10</v>
      </c>
      <c r="K226" s="2" t="s">
        <v>10</v>
      </c>
      <c r="L226" s="2" t="s">
        <v>10</v>
      </c>
      <c r="M226" s="2" t="s">
        <v>10</v>
      </c>
      <c r="N226" s="2" t="s">
        <v>10</v>
      </c>
      <c r="O226" s="2" t="s">
        <v>10</v>
      </c>
    </row>
    <row r="227" spans="1:15" x14ac:dyDescent="0.3">
      <c r="A227" s="2" t="s">
        <v>50</v>
      </c>
      <c r="B227" s="2" t="s">
        <v>16</v>
      </c>
      <c r="C227" s="2" t="s">
        <v>4</v>
      </c>
      <c r="D227" s="7">
        <v>44249</v>
      </c>
      <c r="E227" s="2">
        <v>0</v>
      </c>
      <c r="F227" s="2">
        <v>55.48563333333334</v>
      </c>
      <c r="G227" s="9">
        <v>-0.18589256438153035</v>
      </c>
      <c r="H227" s="8" t="s">
        <v>10</v>
      </c>
      <c r="I227" s="2" t="s">
        <v>10</v>
      </c>
      <c r="J227" s="2" t="s">
        <v>10</v>
      </c>
      <c r="K227" s="2" t="s">
        <v>10</v>
      </c>
      <c r="L227" s="2" t="s">
        <v>10</v>
      </c>
      <c r="M227" s="2" t="s">
        <v>10</v>
      </c>
      <c r="N227" s="2" t="s">
        <v>10</v>
      </c>
      <c r="O227" s="2" t="s">
        <v>10</v>
      </c>
    </row>
    <row r="228" spans="1:15" x14ac:dyDescent="0.3">
      <c r="A228" s="2" t="s">
        <v>50</v>
      </c>
      <c r="B228" s="2" t="s">
        <v>17</v>
      </c>
      <c r="C228" s="2" t="s">
        <v>5</v>
      </c>
      <c r="D228" s="7">
        <v>44249</v>
      </c>
      <c r="E228" s="2">
        <v>0</v>
      </c>
      <c r="F228" s="2">
        <v>63.6</v>
      </c>
      <c r="G228" s="9">
        <v>4.4025157232704504E-2</v>
      </c>
      <c r="H228" s="8" t="s">
        <v>10</v>
      </c>
      <c r="I228" s="2" t="s">
        <v>10</v>
      </c>
      <c r="J228" s="2" t="s">
        <v>10</v>
      </c>
      <c r="K228" s="2" t="s">
        <v>10</v>
      </c>
      <c r="L228" s="2" t="s">
        <v>10</v>
      </c>
      <c r="M228" s="2" t="s">
        <v>10</v>
      </c>
      <c r="N228" s="2" t="s">
        <v>10</v>
      </c>
      <c r="O228" s="2" t="s">
        <v>10</v>
      </c>
    </row>
    <row r="229" spans="1:15" x14ac:dyDescent="0.3">
      <c r="A229" s="2" t="s">
        <v>50</v>
      </c>
      <c r="B229" s="2" t="s">
        <v>18</v>
      </c>
      <c r="C229" s="2" t="s">
        <v>4</v>
      </c>
      <c r="D229" s="7">
        <v>44249</v>
      </c>
      <c r="E229" s="2">
        <v>1</v>
      </c>
      <c r="F229" s="2">
        <v>45.847299999999997</v>
      </c>
      <c r="G229" s="9" t="s">
        <v>10</v>
      </c>
      <c r="H229" s="8" t="s">
        <v>10</v>
      </c>
      <c r="I229" s="2" t="s">
        <v>10</v>
      </c>
      <c r="J229" s="2" t="s">
        <v>10</v>
      </c>
      <c r="K229" s="2" t="s">
        <v>10</v>
      </c>
      <c r="L229" s="2" t="s">
        <v>10</v>
      </c>
      <c r="M229" s="2" t="s">
        <v>10</v>
      </c>
      <c r="N229" s="2" t="s">
        <v>10</v>
      </c>
      <c r="O229" s="2" t="s">
        <v>10</v>
      </c>
    </row>
    <row r="230" spans="1:15" x14ac:dyDescent="0.3">
      <c r="A230" s="2" t="s">
        <v>50</v>
      </c>
      <c r="B230" s="2" t="s">
        <v>19</v>
      </c>
      <c r="C230" s="2" t="s">
        <v>5</v>
      </c>
      <c r="D230" s="7">
        <v>44249</v>
      </c>
      <c r="E230" s="2">
        <v>0</v>
      </c>
      <c r="F230" s="2">
        <v>56.6</v>
      </c>
      <c r="G230" s="9">
        <v>-7.0671378091873294E-3</v>
      </c>
      <c r="H230" s="8" t="s">
        <v>10</v>
      </c>
      <c r="I230" s="2" t="s">
        <v>10</v>
      </c>
      <c r="J230" s="2" t="s">
        <v>10</v>
      </c>
      <c r="K230" s="2" t="s">
        <v>10</v>
      </c>
      <c r="L230" s="2" t="s">
        <v>10</v>
      </c>
      <c r="M230" s="2" t="s">
        <v>10</v>
      </c>
      <c r="N230" s="2" t="s">
        <v>10</v>
      </c>
      <c r="O230" s="2" t="s">
        <v>10</v>
      </c>
    </row>
    <row r="231" spans="1:15" x14ac:dyDescent="0.3">
      <c r="A231" s="2" t="s">
        <v>51</v>
      </c>
      <c r="B231" s="2" t="s">
        <v>20</v>
      </c>
      <c r="C231" s="2" t="s">
        <v>4</v>
      </c>
      <c r="D231" s="7">
        <v>44249</v>
      </c>
      <c r="E231" s="2">
        <v>0</v>
      </c>
      <c r="F231" s="2">
        <v>45.066900000000004</v>
      </c>
      <c r="G231" s="9">
        <v>-0.32247835994931973</v>
      </c>
      <c r="H231" s="8" t="s">
        <v>10</v>
      </c>
      <c r="I231" s="2" t="s">
        <v>10</v>
      </c>
      <c r="J231" s="2" t="s">
        <v>10</v>
      </c>
      <c r="K231" s="2" t="s">
        <v>10</v>
      </c>
      <c r="L231" s="2" t="s">
        <v>10</v>
      </c>
      <c r="M231" s="2" t="s">
        <v>10</v>
      </c>
      <c r="N231" s="2" t="s">
        <v>10</v>
      </c>
      <c r="O231" s="2" t="s">
        <v>10</v>
      </c>
    </row>
    <row r="232" spans="1:15" x14ac:dyDescent="0.3">
      <c r="A232" s="2" t="s">
        <v>51</v>
      </c>
      <c r="B232" s="2" t="s">
        <v>21</v>
      </c>
      <c r="C232" s="2" t="s">
        <v>4</v>
      </c>
      <c r="D232" s="7">
        <v>44249</v>
      </c>
      <c r="E232" s="2">
        <v>0</v>
      </c>
      <c r="F232" s="2">
        <v>51.226900000000001</v>
      </c>
      <c r="G232" s="9">
        <v>-0.13221764346466403</v>
      </c>
      <c r="H232" s="8" t="s">
        <v>10</v>
      </c>
      <c r="I232" s="2" t="s">
        <v>10</v>
      </c>
      <c r="J232" s="2" t="s">
        <v>10</v>
      </c>
      <c r="K232" s="2" t="s">
        <v>10</v>
      </c>
      <c r="L232" s="2" t="s">
        <v>10</v>
      </c>
      <c r="M232" s="2" t="s">
        <v>10</v>
      </c>
      <c r="N232" s="2" t="s">
        <v>10</v>
      </c>
      <c r="O232" s="2" t="s">
        <v>10</v>
      </c>
    </row>
    <row r="233" spans="1:15" x14ac:dyDescent="0.3">
      <c r="A233" s="2" t="s">
        <v>51</v>
      </c>
      <c r="B233" s="2" t="s">
        <v>22</v>
      </c>
      <c r="C233" s="2" t="s">
        <v>5</v>
      </c>
      <c r="D233" s="7">
        <v>44249</v>
      </c>
      <c r="E233" s="2">
        <v>0</v>
      </c>
      <c r="F233" s="2">
        <v>64.899999999999991</v>
      </c>
      <c r="G233" s="9">
        <v>-5.3929121725732054E-2</v>
      </c>
      <c r="H233" s="8" t="s">
        <v>10</v>
      </c>
      <c r="I233" s="2" t="s">
        <v>10</v>
      </c>
      <c r="J233" s="2" t="s">
        <v>10</v>
      </c>
      <c r="K233" s="2" t="s">
        <v>10</v>
      </c>
      <c r="L233" s="2" t="s">
        <v>10</v>
      </c>
      <c r="M233" s="2" t="s">
        <v>10</v>
      </c>
      <c r="N233" s="2" t="s">
        <v>10</v>
      </c>
      <c r="O233" s="2" t="s">
        <v>10</v>
      </c>
    </row>
    <row r="234" spans="1:15" x14ac:dyDescent="0.3">
      <c r="A234" s="2" t="s">
        <v>51</v>
      </c>
      <c r="B234" s="2" t="s">
        <v>23</v>
      </c>
      <c r="C234" s="2" t="s">
        <v>4</v>
      </c>
      <c r="D234" s="7">
        <v>44249</v>
      </c>
      <c r="E234" s="2">
        <v>0</v>
      </c>
      <c r="F234" s="2">
        <v>43.929866666666669</v>
      </c>
      <c r="G234" s="9">
        <v>-7.4439864754123342E-2</v>
      </c>
      <c r="H234" s="8" t="s">
        <v>10</v>
      </c>
      <c r="I234" s="2" t="s">
        <v>10</v>
      </c>
      <c r="J234" s="2" t="s">
        <v>10</v>
      </c>
      <c r="K234" s="2" t="s">
        <v>10</v>
      </c>
      <c r="L234" s="2" t="s">
        <v>10</v>
      </c>
      <c r="M234" s="2" t="s">
        <v>10</v>
      </c>
      <c r="N234" s="2" t="s">
        <v>10</v>
      </c>
      <c r="O234" s="2" t="s">
        <v>10</v>
      </c>
    </row>
    <row r="235" spans="1:15" x14ac:dyDescent="0.3">
      <c r="A235" s="2" t="s">
        <v>51</v>
      </c>
      <c r="B235" s="2" t="s">
        <v>24</v>
      </c>
      <c r="C235" s="2" t="s">
        <v>5</v>
      </c>
      <c r="D235" s="7">
        <v>44249</v>
      </c>
      <c r="E235" s="2">
        <v>0</v>
      </c>
      <c r="F235" s="2">
        <v>72.199999999999989</v>
      </c>
      <c r="G235" s="9">
        <v>-0.11357340720221631</v>
      </c>
      <c r="H235" s="8" t="s">
        <v>10</v>
      </c>
      <c r="I235" s="2" t="s">
        <v>10</v>
      </c>
      <c r="J235" s="2" t="s">
        <v>10</v>
      </c>
      <c r="K235" s="2" t="s">
        <v>10</v>
      </c>
      <c r="L235" s="2" t="s">
        <v>10</v>
      </c>
      <c r="M235" s="2" t="s">
        <v>10</v>
      </c>
      <c r="N235" s="2" t="s">
        <v>10</v>
      </c>
      <c r="O235" s="2" t="s">
        <v>10</v>
      </c>
    </row>
    <row r="236" spans="1:15" x14ac:dyDescent="0.3">
      <c r="A236" s="2" t="s">
        <v>51</v>
      </c>
      <c r="B236" s="2" t="s">
        <v>25</v>
      </c>
      <c r="C236" s="2" t="s">
        <v>4</v>
      </c>
      <c r="D236" s="7">
        <v>44249</v>
      </c>
      <c r="E236" s="2">
        <v>0</v>
      </c>
      <c r="F236" s="2">
        <v>55.316800000000001</v>
      </c>
      <c r="G236" s="9">
        <v>-0.18951204697307134</v>
      </c>
      <c r="H236" s="8" t="s">
        <v>10</v>
      </c>
      <c r="I236" s="2" t="s">
        <v>10</v>
      </c>
      <c r="J236" s="2" t="s">
        <v>10</v>
      </c>
      <c r="K236" s="2" t="s">
        <v>10</v>
      </c>
      <c r="L236" s="2" t="s">
        <v>10</v>
      </c>
      <c r="M236" s="2" t="s">
        <v>10</v>
      </c>
      <c r="N236" s="2" t="s">
        <v>10</v>
      </c>
      <c r="O236" s="2" t="s">
        <v>10</v>
      </c>
    </row>
    <row r="237" spans="1:15" x14ac:dyDescent="0.3">
      <c r="A237" s="2" t="s">
        <v>52</v>
      </c>
      <c r="B237" s="2" t="s">
        <v>26</v>
      </c>
      <c r="C237" s="2" t="s">
        <v>4</v>
      </c>
      <c r="D237" s="7">
        <v>44249</v>
      </c>
      <c r="E237" s="2">
        <v>0</v>
      </c>
      <c r="F237" s="2">
        <v>46.443900000000006</v>
      </c>
      <c r="G237" s="9">
        <v>-8.0873914550672943E-2</v>
      </c>
      <c r="H237" s="8" t="s">
        <v>10</v>
      </c>
      <c r="I237" s="2" t="s">
        <v>10</v>
      </c>
      <c r="J237" s="2" t="s">
        <v>10</v>
      </c>
      <c r="K237" s="2" t="s">
        <v>10</v>
      </c>
      <c r="L237" s="2" t="s">
        <v>10</v>
      </c>
      <c r="M237" s="2" t="s">
        <v>10</v>
      </c>
      <c r="N237" s="2" t="s">
        <v>10</v>
      </c>
      <c r="O237" s="2" t="s">
        <v>10</v>
      </c>
    </row>
    <row r="238" spans="1:15" x14ac:dyDescent="0.3">
      <c r="A238" s="2" t="s">
        <v>52</v>
      </c>
      <c r="B238" s="2" t="s">
        <v>27</v>
      </c>
      <c r="C238" s="2" t="s">
        <v>5</v>
      </c>
      <c r="D238" s="7">
        <v>44249</v>
      </c>
      <c r="E238" s="2">
        <v>0</v>
      </c>
      <c r="F238" s="2">
        <v>59.7</v>
      </c>
      <c r="G238" s="9">
        <v>8.8777219430485665E-2</v>
      </c>
      <c r="H238" s="8" t="s">
        <v>10</v>
      </c>
      <c r="I238" s="2" t="s">
        <v>10</v>
      </c>
      <c r="J238" s="2" t="s">
        <v>10</v>
      </c>
      <c r="K238" s="2" t="s">
        <v>10</v>
      </c>
      <c r="L238" s="2" t="s">
        <v>10</v>
      </c>
      <c r="M238" s="2" t="s">
        <v>10</v>
      </c>
      <c r="N238" s="2" t="s">
        <v>10</v>
      </c>
      <c r="O238" s="2" t="s">
        <v>10</v>
      </c>
    </row>
    <row r="239" spans="1:15" x14ac:dyDescent="0.3">
      <c r="A239" s="2" t="s">
        <v>52</v>
      </c>
      <c r="B239" s="2" t="s">
        <v>28</v>
      </c>
      <c r="C239" s="2" t="s">
        <v>5</v>
      </c>
      <c r="D239" s="7">
        <v>44249</v>
      </c>
      <c r="E239" s="2">
        <v>0</v>
      </c>
      <c r="F239" s="2">
        <v>69.8</v>
      </c>
      <c r="G239" s="9">
        <v>-0.10601719197707737</v>
      </c>
      <c r="H239" s="8" t="s">
        <v>10</v>
      </c>
      <c r="I239" s="2" t="s">
        <v>10</v>
      </c>
      <c r="J239" s="2" t="s">
        <v>10</v>
      </c>
      <c r="K239" s="2" t="s">
        <v>10</v>
      </c>
      <c r="L239" s="2" t="s">
        <v>10</v>
      </c>
      <c r="M239" s="2" t="s">
        <v>10</v>
      </c>
      <c r="N239" s="2" t="s">
        <v>10</v>
      </c>
      <c r="O239" s="2" t="s">
        <v>10</v>
      </c>
    </row>
    <row r="240" spans="1:15" x14ac:dyDescent="0.3">
      <c r="A240" s="2" t="s">
        <v>53</v>
      </c>
      <c r="B240" s="2" t="s">
        <v>29</v>
      </c>
      <c r="C240" s="2" t="s">
        <v>4</v>
      </c>
      <c r="D240" s="7">
        <v>44249</v>
      </c>
      <c r="E240" s="2">
        <v>0</v>
      </c>
      <c r="F240" s="2">
        <v>51.383933333333331</v>
      </c>
      <c r="G240" s="9">
        <v>-9.7619359618246637E-2</v>
      </c>
      <c r="H240" s="8" t="s">
        <v>10</v>
      </c>
      <c r="I240" s="2" t="s">
        <v>10</v>
      </c>
      <c r="J240" s="2" t="s">
        <v>10</v>
      </c>
      <c r="K240" s="2" t="s">
        <v>10</v>
      </c>
      <c r="L240" s="2" t="s">
        <v>10</v>
      </c>
      <c r="M240" s="2" t="s">
        <v>10</v>
      </c>
      <c r="N240" s="2" t="s">
        <v>10</v>
      </c>
      <c r="O240" s="2" t="s">
        <v>10</v>
      </c>
    </row>
    <row r="241" spans="1:15" x14ac:dyDescent="0.3">
      <c r="A241" s="2" t="s">
        <v>53</v>
      </c>
      <c r="B241" s="2" t="s">
        <v>30</v>
      </c>
      <c r="C241" s="2" t="s">
        <v>5</v>
      </c>
      <c r="D241" s="7">
        <v>44249</v>
      </c>
      <c r="E241" s="2">
        <v>0</v>
      </c>
      <c r="F241" s="2">
        <v>52.85</v>
      </c>
      <c r="G241" s="9">
        <v>-0.10879848628192978</v>
      </c>
      <c r="H241" s="8" t="s">
        <v>10</v>
      </c>
      <c r="I241" s="2" t="s">
        <v>10</v>
      </c>
      <c r="J241" s="2" t="s">
        <v>10</v>
      </c>
      <c r="K241" s="2" t="s">
        <v>10</v>
      </c>
      <c r="L241" s="2" t="s">
        <v>10</v>
      </c>
      <c r="M241" s="2" t="s">
        <v>10</v>
      </c>
      <c r="N241" s="2" t="s">
        <v>10</v>
      </c>
      <c r="O241" s="2" t="s">
        <v>10</v>
      </c>
    </row>
    <row r="242" spans="1:15" x14ac:dyDescent="0.3">
      <c r="A242" s="2" t="s">
        <v>53</v>
      </c>
      <c r="B242" s="2" t="s">
        <v>31</v>
      </c>
      <c r="C242" s="2" t="s">
        <v>4</v>
      </c>
      <c r="D242" s="7">
        <v>44249</v>
      </c>
      <c r="E242" s="2">
        <v>0</v>
      </c>
      <c r="F242" s="2">
        <v>45.208666666666666</v>
      </c>
      <c r="G242" s="9">
        <v>-8.8286906640319796E-2</v>
      </c>
      <c r="H242" s="8" t="s">
        <v>10</v>
      </c>
      <c r="I242" s="2" t="s">
        <v>10</v>
      </c>
      <c r="J242" s="2" t="s">
        <v>10</v>
      </c>
      <c r="K242" s="2" t="s">
        <v>10</v>
      </c>
      <c r="L242" s="2" t="s">
        <v>10</v>
      </c>
      <c r="M242" s="2" t="s">
        <v>10</v>
      </c>
      <c r="N242" s="2" t="s">
        <v>10</v>
      </c>
      <c r="O242" s="2" t="s">
        <v>10</v>
      </c>
    </row>
    <row r="243" spans="1:15" x14ac:dyDescent="0.3">
      <c r="A243" s="2" t="s">
        <v>53</v>
      </c>
      <c r="B243" s="2" t="s">
        <v>32</v>
      </c>
      <c r="C243" s="2" t="s">
        <v>5</v>
      </c>
      <c r="D243" s="7">
        <v>44249</v>
      </c>
      <c r="E243" s="2">
        <v>0</v>
      </c>
      <c r="F243" s="2">
        <v>61.766666666666673</v>
      </c>
      <c r="G243" s="9">
        <v>-4.9109552077711616E-2</v>
      </c>
      <c r="H243" s="8" t="s">
        <v>10</v>
      </c>
      <c r="I243" s="2" t="s">
        <v>10</v>
      </c>
      <c r="J243" s="2" t="s">
        <v>10</v>
      </c>
      <c r="K243" s="2" t="s">
        <v>10</v>
      </c>
      <c r="L243" s="2" t="s">
        <v>10</v>
      </c>
      <c r="M243" s="2" t="s">
        <v>10</v>
      </c>
      <c r="N243" s="2" t="s">
        <v>10</v>
      </c>
      <c r="O243" s="2" t="s">
        <v>10</v>
      </c>
    </row>
    <row r="244" spans="1:15" x14ac:dyDescent="0.3">
      <c r="A244" s="2" t="s">
        <v>53</v>
      </c>
      <c r="B244" s="2" t="s">
        <v>33</v>
      </c>
      <c r="C244" s="2" t="s">
        <v>4</v>
      </c>
      <c r="D244" s="7">
        <v>44249</v>
      </c>
      <c r="E244" s="2">
        <v>1</v>
      </c>
      <c r="F244" s="2">
        <v>61.057399999999994</v>
      </c>
      <c r="G244" s="9" t="s">
        <v>10</v>
      </c>
      <c r="H244" s="8" t="s">
        <v>10</v>
      </c>
      <c r="I244" s="2" t="s">
        <v>10</v>
      </c>
      <c r="J244" s="2" t="s">
        <v>10</v>
      </c>
      <c r="K244" s="2" t="s">
        <v>10</v>
      </c>
      <c r="L244" s="2" t="s">
        <v>10</v>
      </c>
      <c r="M244" s="2" t="s">
        <v>10</v>
      </c>
      <c r="N244" s="2" t="s">
        <v>10</v>
      </c>
      <c r="O244" s="2" t="s">
        <v>10</v>
      </c>
    </row>
    <row r="245" spans="1:15" x14ac:dyDescent="0.3">
      <c r="A245" s="2" t="s">
        <v>53</v>
      </c>
      <c r="B245" s="2" t="s">
        <v>34</v>
      </c>
      <c r="C245" s="2" t="s">
        <v>5</v>
      </c>
      <c r="D245" s="7">
        <v>44249</v>
      </c>
      <c r="E245" s="2">
        <v>0</v>
      </c>
      <c r="F245" s="2">
        <v>49.866666666666674</v>
      </c>
      <c r="G245" s="9">
        <v>-6.2834224598930399E-2</v>
      </c>
      <c r="H245" s="8" t="s">
        <v>10</v>
      </c>
      <c r="I245" s="2" t="s">
        <v>10</v>
      </c>
      <c r="J245" s="2" t="s">
        <v>10</v>
      </c>
      <c r="K245" s="2" t="s">
        <v>10</v>
      </c>
      <c r="L245" s="2" t="s">
        <v>10</v>
      </c>
      <c r="M245" s="2" t="s">
        <v>10</v>
      </c>
      <c r="N245" s="2" t="s">
        <v>10</v>
      </c>
      <c r="O245" s="2" t="s">
        <v>10</v>
      </c>
    </row>
    <row r="246" spans="1:15" x14ac:dyDescent="0.3">
      <c r="A246" s="2" t="s">
        <v>53</v>
      </c>
      <c r="B246" s="2" t="s">
        <v>35</v>
      </c>
      <c r="C246" s="2" t="s">
        <v>5</v>
      </c>
      <c r="D246" s="7">
        <v>44249</v>
      </c>
      <c r="E246" s="2">
        <v>0</v>
      </c>
      <c r="F246" s="2">
        <v>50.75</v>
      </c>
      <c r="G246" s="9">
        <v>-3.2512315270935899E-2</v>
      </c>
      <c r="H246" s="8" t="s">
        <v>10</v>
      </c>
      <c r="I246" s="2" t="s">
        <v>10</v>
      </c>
      <c r="J246" s="2" t="s">
        <v>10</v>
      </c>
      <c r="K246" s="2" t="s">
        <v>10</v>
      </c>
      <c r="L246" s="2" t="s">
        <v>10</v>
      </c>
      <c r="M246" s="2" t="s">
        <v>10</v>
      </c>
      <c r="N246" s="2" t="s">
        <v>10</v>
      </c>
      <c r="O246" s="2" t="s">
        <v>10</v>
      </c>
    </row>
    <row r="247" spans="1:15" x14ac:dyDescent="0.3">
      <c r="A247" s="2" t="s">
        <v>53</v>
      </c>
      <c r="B247" s="2" t="s">
        <v>36</v>
      </c>
      <c r="C247" s="2" t="s">
        <v>4</v>
      </c>
      <c r="D247" s="7">
        <v>44249</v>
      </c>
      <c r="E247" s="2">
        <v>0</v>
      </c>
      <c r="F247" s="2">
        <v>55.3962</v>
      </c>
      <c r="G247" s="9">
        <v>-9.3937851332762889E-2</v>
      </c>
      <c r="H247" s="8" t="s">
        <v>10</v>
      </c>
      <c r="I247" s="2" t="s">
        <v>10</v>
      </c>
      <c r="J247" s="2" t="s">
        <v>10</v>
      </c>
      <c r="K247" s="2" t="s">
        <v>10</v>
      </c>
      <c r="L247" s="2" t="s">
        <v>10</v>
      </c>
      <c r="M247" s="2" t="s">
        <v>10</v>
      </c>
      <c r="N247" s="2" t="s">
        <v>10</v>
      </c>
      <c r="O247" s="2" t="s">
        <v>10</v>
      </c>
    </row>
    <row r="248" spans="1:15" x14ac:dyDescent="0.3">
      <c r="A248" s="2" t="s">
        <v>54</v>
      </c>
      <c r="B248" s="2" t="s">
        <v>37</v>
      </c>
      <c r="C248" s="2" t="s">
        <v>5</v>
      </c>
      <c r="D248" s="7">
        <v>44249</v>
      </c>
      <c r="E248" s="2">
        <v>0</v>
      </c>
      <c r="F248" s="2">
        <v>79.8</v>
      </c>
      <c r="G248" s="9">
        <v>-9.7744360902255689E-2</v>
      </c>
      <c r="H248" s="8" t="s">
        <v>10</v>
      </c>
      <c r="I248" s="2" t="s">
        <v>10</v>
      </c>
      <c r="J248" s="2" t="s">
        <v>10</v>
      </c>
      <c r="K248" s="2" t="s">
        <v>10</v>
      </c>
      <c r="L248" s="2" t="s">
        <v>10</v>
      </c>
      <c r="M248" s="2" t="s">
        <v>10</v>
      </c>
      <c r="N248" s="2" t="s">
        <v>10</v>
      </c>
      <c r="O248" s="2" t="s">
        <v>10</v>
      </c>
    </row>
    <row r="249" spans="1:15" x14ac:dyDescent="0.3">
      <c r="A249" s="2" t="s">
        <v>54</v>
      </c>
      <c r="B249" s="2" t="s">
        <v>38</v>
      </c>
      <c r="C249" s="2" t="s">
        <v>4</v>
      </c>
      <c r="D249" s="7">
        <v>44249</v>
      </c>
      <c r="E249" s="2">
        <v>0</v>
      </c>
      <c r="F249" s="2">
        <v>72.9178</v>
      </c>
      <c r="G249" s="9">
        <v>-6.1469216021328155E-2</v>
      </c>
      <c r="H249" s="8" t="s">
        <v>10</v>
      </c>
      <c r="I249" s="2" t="s">
        <v>10</v>
      </c>
      <c r="J249" s="2" t="s">
        <v>10</v>
      </c>
      <c r="K249" s="2" t="s">
        <v>10</v>
      </c>
      <c r="L249" s="2" t="s">
        <v>10</v>
      </c>
      <c r="M249" s="2" t="s">
        <v>10</v>
      </c>
      <c r="N249" s="2" t="s">
        <v>10</v>
      </c>
      <c r="O249" s="2" t="s">
        <v>10</v>
      </c>
    </row>
    <row r="250" spans="1:15" x14ac:dyDescent="0.3">
      <c r="A250" s="2" t="s">
        <v>54</v>
      </c>
      <c r="B250" s="2" t="s">
        <v>39</v>
      </c>
      <c r="C250" s="2" t="s">
        <v>5</v>
      </c>
      <c r="D250" s="7">
        <v>44249</v>
      </c>
      <c r="E250" s="2">
        <v>0</v>
      </c>
      <c r="F250" s="2">
        <v>66.73333333333332</v>
      </c>
      <c r="G250" s="9">
        <v>-3.0969030969031142E-2</v>
      </c>
      <c r="H250" s="8" t="s">
        <v>10</v>
      </c>
      <c r="I250" s="2" t="s">
        <v>10</v>
      </c>
      <c r="J250" s="2" t="s">
        <v>10</v>
      </c>
      <c r="K250" s="2" t="s">
        <v>10</v>
      </c>
      <c r="L250" s="2" t="s">
        <v>10</v>
      </c>
      <c r="M250" s="2" t="s">
        <v>10</v>
      </c>
      <c r="N250" s="2" t="s">
        <v>10</v>
      </c>
      <c r="O250" s="2" t="s">
        <v>10</v>
      </c>
    </row>
    <row r="251" spans="1:15" x14ac:dyDescent="0.3">
      <c r="A251" s="2" t="s">
        <v>55</v>
      </c>
      <c r="B251" s="2" t="s">
        <v>40</v>
      </c>
      <c r="C251" s="2" t="s">
        <v>4</v>
      </c>
      <c r="D251" s="7">
        <v>44249</v>
      </c>
      <c r="E251" s="2">
        <v>0</v>
      </c>
      <c r="F251" s="2">
        <v>64.726433333333333</v>
      </c>
      <c r="G251" s="9">
        <v>-0.10928404829969018</v>
      </c>
      <c r="H251" s="8" t="s">
        <v>10</v>
      </c>
      <c r="I251" s="2" t="s">
        <v>10</v>
      </c>
      <c r="J251" s="2" t="s">
        <v>10</v>
      </c>
      <c r="K251" s="2" t="s">
        <v>10</v>
      </c>
      <c r="L251" s="2" t="s">
        <v>10</v>
      </c>
      <c r="M251" s="2" t="s">
        <v>10</v>
      </c>
      <c r="N251" s="2" t="s">
        <v>10</v>
      </c>
      <c r="O251" s="2" t="s">
        <v>10</v>
      </c>
    </row>
    <row r="252" spans="1:15" x14ac:dyDescent="0.3">
      <c r="A252" s="2" t="s">
        <v>55</v>
      </c>
      <c r="B252" s="2" t="s">
        <v>41</v>
      </c>
      <c r="C252" s="2" t="s">
        <v>5</v>
      </c>
      <c r="D252" s="7">
        <v>44249</v>
      </c>
      <c r="E252" s="2">
        <v>0</v>
      </c>
      <c r="F252" s="2">
        <v>55.466666666666676</v>
      </c>
      <c r="G252" s="9">
        <v>-0.13221153846153832</v>
      </c>
      <c r="H252" s="8" t="s">
        <v>10</v>
      </c>
      <c r="I252" s="2" t="s">
        <v>10</v>
      </c>
      <c r="J252" s="2" t="s">
        <v>10</v>
      </c>
      <c r="K252" s="2" t="s">
        <v>10</v>
      </c>
      <c r="L252" s="2" t="s">
        <v>10</v>
      </c>
      <c r="M252" s="2" t="s">
        <v>10</v>
      </c>
      <c r="N252" s="2" t="s">
        <v>10</v>
      </c>
      <c r="O252" s="2" t="s">
        <v>10</v>
      </c>
    </row>
    <row r="253" spans="1:15" x14ac:dyDescent="0.3">
      <c r="A253" s="2" t="s">
        <v>55</v>
      </c>
      <c r="B253" s="2" t="s">
        <v>42</v>
      </c>
      <c r="C253" s="2" t="s">
        <v>5</v>
      </c>
      <c r="D253" s="7">
        <v>44249</v>
      </c>
      <c r="E253" s="2">
        <v>0</v>
      </c>
      <c r="F253" s="2">
        <v>64.266666666666666</v>
      </c>
      <c r="G253" s="9">
        <v>-3.9419087136929543E-2</v>
      </c>
      <c r="H253" s="8" t="s">
        <v>10</v>
      </c>
      <c r="I253" s="2" t="s">
        <v>10</v>
      </c>
      <c r="J253" s="2" t="s">
        <v>10</v>
      </c>
      <c r="K253" s="2" t="s">
        <v>10</v>
      </c>
      <c r="L253" s="2" t="s">
        <v>10</v>
      </c>
      <c r="M253" s="2" t="s">
        <v>10</v>
      </c>
      <c r="N253" s="2" t="s">
        <v>10</v>
      </c>
      <c r="O253" s="2" t="s">
        <v>10</v>
      </c>
    </row>
    <row r="254" spans="1:15" x14ac:dyDescent="0.3">
      <c r="A254" s="2" t="s">
        <v>55</v>
      </c>
      <c r="B254" s="2" t="s">
        <v>43</v>
      </c>
      <c r="C254" s="2" t="s">
        <v>4</v>
      </c>
      <c r="D254" s="7">
        <v>44249</v>
      </c>
      <c r="E254" s="2">
        <v>0</v>
      </c>
      <c r="F254" s="2">
        <v>61.108766666666661</v>
      </c>
      <c r="G254" s="9">
        <v>-0.15204419660463353</v>
      </c>
      <c r="H254" s="8" t="s">
        <v>10</v>
      </c>
      <c r="I254" s="2" t="s">
        <v>10</v>
      </c>
      <c r="J254" s="2" t="s">
        <v>10</v>
      </c>
      <c r="K254" s="2" t="s">
        <v>10</v>
      </c>
      <c r="L254" s="2" t="s">
        <v>10</v>
      </c>
      <c r="M254" s="2" t="s">
        <v>10</v>
      </c>
      <c r="N254" s="2" t="s">
        <v>10</v>
      </c>
      <c r="O254" s="2" t="s">
        <v>10</v>
      </c>
    </row>
    <row r="255" spans="1:15" x14ac:dyDescent="0.3">
      <c r="A255" s="2" t="s">
        <v>56</v>
      </c>
      <c r="B255" s="2" t="s">
        <v>44</v>
      </c>
      <c r="C255" s="2" t="s">
        <v>5</v>
      </c>
      <c r="D255" s="7">
        <v>44249</v>
      </c>
      <c r="E255" s="2">
        <v>0</v>
      </c>
      <c r="F255" s="2">
        <v>60.300000000000004</v>
      </c>
      <c r="G255" s="9">
        <v>-0.18076285240464318</v>
      </c>
      <c r="H255" s="8" t="s">
        <v>10</v>
      </c>
      <c r="I255" s="2" t="s">
        <v>10</v>
      </c>
      <c r="J255" s="2" t="s">
        <v>10</v>
      </c>
      <c r="K255" s="2" t="s">
        <v>10</v>
      </c>
      <c r="L255" s="2" t="s">
        <v>10</v>
      </c>
      <c r="M255" s="2" t="s">
        <v>10</v>
      </c>
      <c r="N255" s="2" t="s">
        <v>10</v>
      </c>
      <c r="O255" s="2" t="s">
        <v>10</v>
      </c>
    </row>
    <row r="256" spans="1:15" x14ac:dyDescent="0.3">
      <c r="A256" s="2" t="s">
        <v>56</v>
      </c>
      <c r="B256" s="2" t="s">
        <v>45</v>
      </c>
      <c r="C256" s="2" t="s">
        <v>4</v>
      </c>
      <c r="D256" s="7">
        <v>44249</v>
      </c>
      <c r="E256" s="2">
        <v>0</v>
      </c>
      <c r="F256" s="2">
        <v>60.898933333333332</v>
      </c>
      <c r="G256" s="9">
        <v>-0.44173296959771591</v>
      </c>
      <c r="H256" s="8" t="s">
        <v>10</v>
      </c>
      <c r="I256" s="2" t="s">
        <v>10</v>
      </c>
      <c r="J256" s="2" t="s">
        <v>10</v>
      </c>
      <c r="K256" s="2" t="s">
        <v>10</v>
      </c>
      <c r="L256" s="2" t="s">
        <v>10</v>
      </c>
      <c r="M256" s="2" t="s">
        <v>10</v>
      </c>
      <c r="N256" s="2" t="s">
        <v>10</v>
      </c>
      <c r="O256" s="2" t="s">
        <v>10</v>
      </c>
    </row>
    <row r="257" spans="1:15" x14ac:dyDescent="0.3">
      <c r="A257" s="2" t="s">
        <v>56</v>
      </c>
      <c r="B257" s="2" t="s">
        <v>46</v>
      </c>
      <c r="C257" s="2" t="s">
        <v>4</v>
      </c>
      <c r="D257" s="7">
        <v>44249</v>
      </c>
      <c r="E257" s="2">
        <v>0</v>
      </c>
      <c r="F257" s="2">
        <v>45.650200000000005</v>
      </c>
      <c r="G257" s="9">
        <v>-0.29681797670108767</v>
      </c>
      <c r="H257" s="8" t="s">
        <v>10</v>
      </c>
      <c r="I257" s="2" t="s">
        <v>10</v>
      </c>
      <c r="J257" s="2" t="s">
        <v>10</v>
      </c>
      <c r="K257" s="2" t="s">
        <v>10</v>
      </c>
      <c r="L257" s="2" t="s">
        <v>10</v>
      </c>
      <c r="M257" s="2" t="s">
        <v>10</v>
      </c>
      <c r="N257" s="2" t="s">
        <v>10</v>
      </c>
      <c r="O257" s="2" t="s">
        <v>10</v>
      </c>
    </row>
    <row r="258" spans="1:15" x14ac:dyDescent="0.3">
      <c r="A258" s="2" t="s">
        <v>56</v>
      </c>
      <c r="B258" s="2" t="s">
        <v>47</v>
      </c>
      <c r="C258" s="2" t="s">
        <v>5</v>
      </c>
      <c r="D258" s="7">
        <v>44249</v>
      </c>
      <c r="E258" s="2">
        <v>0</v>
      </c>
      <c r="F258" s="2">
        <v>53.6</v>
      </c>
      <c r="G258" s="9">
        <v>-7.0895522388059851E-2</v>
      </c>
      <c r="H258" s="8" t="s">
        <v>10</v>
      </c>
      <c r="I258" s="2" t="s">
        <v>10</v>
      </c>
      <c r="J258" s="2" t="s">
        <v>10</v>
      </c>
      <c r="K258" s="2" t="s">
        <v>10</v>
      </c>
      <c r="L258" s="2" t="s">
        <v>10</v>
      </c>
      <c r="M258" s="2" t="s">
        <v>10</v>
      </c>
      <c r="N258" s="2" t="s">
        <v>10</v>
      </c>
      <c r="O258" s="2" t="s">
        <v>10</v>
      </c>
    </row>
    <row r="259" spans="1:15" x14ac:dyDescent="0.3">
      <c r="A259" s="2" t="s">
        <v>56</v>
      </c>
      <c r="B259" s="2" t="s">
        <v>48</v>
      </c>
      <c r="C259" s="2" t="s">
        <v>4</v>
      </c>
      <c r="D259" s="7">
        <v>44249</v>
      </c>
      <c r="E259" s="2">
        <v>0</v>
      </c>
      <c r="F259" s="2">
        <v>42.090800000000002</v>
      </c>
      <c r="G259" s="9">
        <v>-0.43024128788238758</v>
      </c>
      <c r="H259" s="8" t="s">
        <v>10</v>
      </c>
      <c r="I259" s="2" t="s">
        <v>10</v>
      </c>
      <c r="J259" s="2" t="s">
        <v>10</v>
      </c>
      <c r="K259" s="2" t="s">
        <v>10</v>
      </c>
      <c r="L259" s="2" t="s">
        <v>10</v>
      </c>
      <c r="M259" s="2" t="s">
        <v>10</v>
      </c>
      <c r="N259" s="2" t="s">
        <v>10</v>
      </c>
      <c r="O259" s="2" t="s">
        <v>10</v>
      </c>
    </row>
    <row r="260" spans="1:15" x14ac:dyDescent="0.3">
      <c r="A260" s="2" t="s">
        <v>49</v>
      </c>
      <c r="B260" s="2" t="s">
        <v>3</v>
      </c>
      <c r="C260" s="2" t="s">
        <v>4</v>
      </c>
      <c r="D260" s="7">
        <v>44266</v>
      </c>
      <c r="E260" s="2">
        <v>0</v>
      </c>
      <c r="F260" s="2">
        <v>68.224899999999991</v>
      </c>
      <c r="G260" s="9">
        <v>7.3651995092700595E-2</v>
      </c>
      <c r="H260" s="8" t="s">
        <v>10</v>
      </c>
      <c r="I260" s="2" t="s">
        <v>10</v>
      </c>
      <c r="J260" s="2" t="s">
        <v>10</v>
      </c>
      <c r="K260" s="2" t="s">
        <v>10</v>
      </c>
      <c r="L260" s="2" t="s">
        <v>10</v>
      </c>
      <c r="M260" s="2" t="s">
        <v>10</v>
      </c>
      <c r="N260" s="2" t="s">
        <v>10</v>
      </c>
      <c r="O260" s="2" t="s">
        <v>10</v>
      </c>
    </row>
    <row r="261" spans="1:15" x14ac:dyDescent="0.3">
      <c r="A261" s="2" t="s">
        <v>49</v>
      </c>
      <c r="B261" s="2" t="s">
        <v>6</v>
      </c>
      <c r="C261" s="2" t="s">
        <v>5</v>
      </c>
      <c r="D261" s="7">
        <v>44266</v>
      </c>
      <c r="E261" s="2">
        <v>0</v>
      </c>
      <c r="F261" s="2">
        <v>62.050000000000004</v>
      </c>
      <c r="G261" s="9">
        <v>6.5269943593875945E-2</v>
      </c>
      <c r="H261" s="8" t="s">
        <v>10</v>
      </c>
      <c r="I261" s="2" t="s">
        <v>10</v>
      </c>
      <c r="J261" s="2" t="s">
        <v>10</v>
      </c>
      <c r="K261" s="2" t="s">
        <v>10</v>
      </c>
      <c r="L261" s="2" t="s">
        <v>10</v>
      </c>
      <c r="M261" s="2" t="s">
        <v>10</v>
      </c>
      <c r="N261" s="2" t="s">
        <v>10</v>
      </c>
      <c r="O261" s="2" t="s">
        <v>10</v>
      </c>
    </row>
    <row r="262" spans="1:15" x14ac:dyDescent="0.3">
      <c r="A262" s="2" t="s">
        <v>49</v>
      </c>
      <c r="B262" s="2" t="s">
        <v>7</v>
      </c>
      <c r="C262" s="2" t="s">
        <v>4</v>
      </c>
      <c r="D262" s="7">
        <v>44266</v>
      </c>
      <c r="E262" s="2">
        <v>0</v>
      </c>
      <c r="F262" s="2">
        <v>47.079500000000003</v>
      </c>
      <c r="G262" s="9">
        <v>-0.18098110642636378</v>
      </c>
      <c r="H262" s="8" t="s">
        <v>10</v>
      </c>
      <c r="I262" s="2" t="s">
        <v>10</v>
      </c>
      <c r="J262" s="2" t="s">
        <v>10</v>
      </c>
      <c r="K262" s="2" t="s">
        <v>10</v>
      </c>
      <c r="L262" s="2" t="s">
        <v>10</v>
      </c>
      <c r="M262" s="2" t="s">
        <v>10</v>
      </c>
      <c r="N262" s="2" t="s">
        <v>10</v>
      </c>
      <c r="O262" s="2" t="s">
        <v>10</v>
      </c>
    </row>
    <row r="263" spans="1:15" x14ac:dyDescent="0.3">
      <c r="A263" s="2" t="s">
        <v>49</v>
      </c>
      <c r="B263" s="2" t="s">
        <v>8</v>
      </c>
      <c r="C263" s="2" t="s">
        <v>5</v>
      </c>
      <c r="D263" s="7">
        <v>44266</v>
      </c>
      <c r="E263" s="2">
        <v>0</v>
      </c>
      <c r="F263" s="2">
        <v>56.633333333333333</v>
      </c>
      <c r="G263" s="9">
        <v>-0.1477339611536197</v>
      </c>
      <c r="H263" s="8" t="s">
        <v>10</v>
      </c>
      <c r="I263" s="2" t="s">
        <v>10</v>
      </c>
      <c r="J263" s="2" t="s">
        <v>10</v>
      </c>
      <c r="K263" s="2" t="s">
        <v>10</v>
      </c>
      <c r="L263" s="2" t="s">
        <v>10</v>
      </c>
      <c r="M263" s="2" t="s">
        <v>10</v>
      </c>
      <c r="N263" s="2" t="s">
        <v>10</v>
      </c>
      <c r="O263" s="2" t="s">
        <v>10</v>
      </c>
    </row>
    <row r="264" spans="1:15" x14ac:dyDescent="0.3">
      <c r="A264" s="2" t="s">
        <v>50</v>
      </c>
      <c r="B264" s="2" t="s">
        <v>9</v>
      </c>
      <c r="C264" s="2" t="s">
        <v>4</v>
      </c>
      <c r="D264" s="7">
        <v>44266</v>
      </c>
      <c r="E264" s="2">
        <v>1</v>
      </c>
      <c r="F264" s="2" t="s">
        <v>10</v>
      </c>
      <c r="G264" s="9" t="s">
        <v>10</v>
      </c>
      <c r="H264" s="8" t="s">
        <v>10</v>
      </c>
      <c r="I264" s="2" t="s">
        <v>10</v>
      </c>
      <c r="J264" s="2" t="s">
        <v>10</v>
      </c>
      <c r="K264" s="2" t="s">
        <v>10</v>
      </c>
      <c r="L264" s="2" t="s">
        <v>10</v>
      </c>
      <c r="M264" s="2" t="s">
        <v>10</v>
      </c>
      <c r="N264" s="2" t="s">
        <v>10</v>
      </c>
      <c r="O264" s="2" t="s">
        <v>10</v>
      </c>
    </row>
    <row r="265" spans="1:15" x14ac:dyDescent="0.3">
      <c r="A265" s="2" t="s">
        <v>50</v>
      </c>
      <c r="B265" s="2" t="s">
        <v>11</v>
      </c>
      <c r="C265" s="2" t="s">
        <v>5</v>
      </c>
      <c r="D265" s="7">
        <v>44266</v>
      </c>
      <c r="E265" s="2">
        <v>0</v>
      </c>
      <c r="F265" s="2">
        <v>62.466666666666676</v>
      </c>
      <c r="G265" s="9">
        <v>-0.17502668089647799</v>
      </c>
      <c r="H265" s="8" t="s">
        <v>10</v>
      </c>
      <c r="I265" s="2" t="s">
        <v>10</v>
      </c>
      <c r="J265" s="2" t="s">
        <v>10</v>
      </c>
      <c r="K265" s="2" t="s">
        <v>10</v>
      </c>
      <c r="L265" s="2" t="s">
        <v>10</v>
      </c>
      <c r="M265" s="2" t="s">
        <v>10</v>
      </c>
      <c r="N265" s="2" t="s">
        <v>10</v>
      </c>
      <c r="O265" s="2" t="s">
        <v>10</v>
      </c>
    </row>
    <row r="266" spans="1:15" x14ac:dyDescent="0.3">
      <c r="A266" s="2" t="s">
        <v>50</v>
      </c>
      <c r="B266" s="2" t="s">
        <v>12</v>
      </c>
      <c r="C266" s="2" t="s">
        <v>5</v>
      </c>
      <c r="D266" s="7">
        <v>44266</v>
      </c>
      <c r="E266" s="2">
        <v>0</v>
      </c>
      <c r="F266" s="2">
        <v>58.866666666666667</v>
      </c>
      <c r="G266" s="9">
        <v>-0.17553793884484681</v>
      </c>
      <c r="H266" s="8" t="s">
        <v>10</v>
      </c>
      <c r="I266" s="2" t="s">
        <v>10</v>
      </c>
      <c r="J266" s="2" t="s">
        <v>10</v>
      </c>
      <c r="K266" s="2" t="s">
        <v>10</v>
      </c>
      <c r="L266" s="2" t="s">
        <v>10</v>
      </c>
      <c r="M266" s="2" t="s">
        <v>10</v>
      </c>
      <c r="N266" s="2" t="s">
        <v>10</v>
      </c>
      <c r="O266" s="2" t="s">
        <v>10</v>
      </c>
    </row>
    <row r="267" spans="1:15" x14ac:dyDescent="0.3">
      <c r="A267" s="2" t="s">
        <v>50</v>
      </c>
      <c r="B267" s="2" t="s">
        <v>13</v>
      </c>
      <c r="C267" s="2" t="s">
        <v>4</v>
      </c>
      <c r="D267" s="7">
        <v>44266</v>
      </c>
      <c r="E267" s="2">
        <v>0</v>
      </c>
      <c r="F267" s="2">
        <v>45.314799999999998</v>
      </c>
      <c r="G267" s="9">
        <v>-0.48737277887136221</v>
      </c>
      <c r="H267" s="8" t="s">
        <v>10</v>
      </c>
      <c r="I267" s="2" t="s">
        <v>10</v>
      </c>
      <c r="J267" s="2" t="s">
        <v>10</v>
      </c>
      <c r="K267" s="2" t="s">
        <v>10</v>
      </c>
      <c r="L267" s="2" t="s">
        <v>10</v>
      </c>
      <c r="M267" s="2" t="s">
        <v>10</v>
      </c>
      <c r="N267" s="2" t="s">
        <v>10</v>
      </c>
      <c r="O267" s="2" t="s">
        <v>10</v>
      </c>
    </row>
    <row r="268" spans="1:15" x14ac:dyDescent="0.3">
      <c r="A268" s="2" t="s">
        <v>50</v>
      </c>
      <c r="B268" s="2" t="s">
        <v>14</v>
      </c>
      <c r="C268" s="2" t="s">
        <v>4</v>
      </c>
      <c r="D268" s="7">
        <v>44266</v>
      </c>
      <c r="E268" s="2">
        <v>0</v>
      </c>
      <c r="F268" s="2">
        <v>56.269333333333336</v>
      </c>
      <c r="G268" s="9">
        <v>-3.4311170086725795E-2</v>
      </c>
      <c r="H268" s="8" t="s">
        <v>10</v>
      </c>
      <c r="I268" s="2" t="s">
        <v>10</v>
      </c>
      <c r="J268" s="2" t="s">
        <v>10</v>
      </c>
      <c r="K268" s="2" t="s">
        <v>10</v>
      </c>
      <c r="L268" s="2" t="s">
        <v>10</v>
      </c>
      <c r="M268" s="2" t="s">
        <v>10</v>
      </c>
      <c r="N268" s="2" t="s">
        <v>10</v>
      </c>
      <c r="O268" s="2" t="s">
        <v>10</v>
      </c>
    </row>
    <row r="269" spans="1:15" x14ac:dyDescent="0.3">
      <c r="A269" s="2" t="s">
        <v>50</v>
      </c>
      <c r="B269" s="2" t="s">
        <v>15</v>
      </c>
      <c r="C269" s="2" t="s">
        <v>5</v>
      </c>
      <c r="D269" s="7">
        <v>44266</v>
      </c>
      <c r="E269" s="2">
        <v>0</v>
      </c>
      <c r="F269" s="2">
        <v>59.866666666666667</v>
      </c>
      <c r="G269" s="9">
        <v>7.7951002227172328E-3</v>
      </c>
      <c r="H269" s="8" t="s">
        <v>10</v>
      </c>
      <c r="I269" s="2" t="s">
        <v>10</v>
      </c>
      <c r="J269" s="2" t="s">
        <v>10</v>
      </c>
      <c r="K269" s="2" t="s">
        <v>10</v>
      </c>
      <c r="L269" s="2" t="s">
        <v>10</v>
      </c>
      <c r="M269" s="2" t="s">
        <v>10</v>
      </c>
      <c r="N269" s="2" t="s">
        <v>10</v>
      </c>
      <c r="O269" s="2" t="s">
        <v>10</v>
      </c>
    </row>
    <row r="270" spans="1:15" x14ac:dyDescent="0.3">
      <c r="A270" s="2" t="s">
        <v>50</v>
      </c>
      <c r="B270" s="2" t="s">
        <v>16</v>
      </c>
      <c r="C270" s="2" t="s">
        <v>4</v>
      </c>
      <c r="D270" s="7">
        <v>44266</v>
      </c>
      <c r="E270" s="2">
        <v>0</v>
      </c>
      <c r="F270" s="2">
        <v>52.8523</v>
      </c>
      <c r="G270" s="9">
        <v>-0.24497893185348607</v>
      </c>
      <c r="H270" s="8" t="s">
        <v>10</v>
      </c>
      <c r="I270" s="2" t="s">
        <v>10</v>
      </c>
      <c r="J270" s="2" t="s">
        <v>10</v>
      </c>
      <c r="K270" s="2" t="s">
        <v>10</v>
      </c>
      <c r="L270" s="2" t="s">
        <v>10</v>
      </c>
      <c r="M270" s="2" t="s">
        <v>10</v>
      </c>
      <c r="N270" s="2" t="s">
        <v>10</v>
      </c>
      <c r="O270" s="2" t="s">
        <v>10</v>
      </c>
    </row>
    <row r="271" spans="1:15" x14ac:dyDescent="0.3">
      <c r="A271" s="2" t="s">
        <v>50</v>
      </c>
      <c r="B271" s="2" t="s">
        <v>17</v>
      </c>
      <c r="C271" s="2" t="s">
        <v>5</v>
      </c>
      <c r="D271" s="7">
        <v>44266</v>
      </c>
      <c r="E271" s="2">
        <v>0</v>
      </c>
      <c r="F271" s="2">
        <v>62</v>
      </c>
      <c r="G271" s="9">
        <v>1.9354838709677469E-2</v>
      </c>
      <c r="H271" s="8" t="s">
        <v>10</v>
      </c>
      <c r="I271" s="2" t="s">
        <v>10</v>
      </c>
      <c r="J271" s="2" t="s">
        <v>10</v>
      </c>
      <c r="K271" s="2" t="s">
        <v>10</v>
      </c>
      <c r="L271" s="2" t="s">
        <v>10</v>
      </c>
      <c r="M271" s="2" t="s">
        <v>10</v>
      </c>
      <c r="N271" s="2" t="s">
        <v>10</v>
      </c>
      <c r="O271" s="2" t="s">
        <v>10</v>
      </c>
    </row>
    <row r="272" spans="1:15" x14ac:dyDescent="0.3">
      <c r="A272" s="2" t="s">
        <v>50</v>
      </c>
      <c r="B272" s="2" t="s">
        <v>18</v>
      </c>
      <c r="C272" s="2" t="s">
        <v>4</v>
      </c>
      <c r="D272" s="7">
        <v>44266</v>
      </c>
      <c r="E272" s="2">
        <v>1</v>
      </c>
      <c r="F272" s="2" t="s">
        <v>10</v>
      </c>
      <c r="G272" s="9" t="s">
        <v>10</v>
      </c>
      <c r="H272" s="8" t="s">
        <v>10</v>
      </c>
      <c r="I272" s="2" t="s">
        <v>10</v>
      </c>
      <c r="J272" s="2" t="s">
        <v>10</v>
      </c>
      <c r="K272" s="2" t="s">
        <v>10</v>
      </c>
      <c r="L272" s="2" t="s">
        <v>10</v>
      </c>
      <c r="M272" s="2" t="s">
        <v>10</v>
      </c>
      <c r="N272" s="2" t="s">
        <v>10</v>
      </c>
      <c r="O272" s="2" t="s">
        <v>10</v>
      </c>
    </row>
    <row r="273" spans="1:15" x14ac:dyDescent="0.3">
      <c r="A273" s="2" t="s">
        <v>50</v>
      </c>
      <c r="B273" s="2" t="s">
        <v>19</v>
      </c>
      <c r="C273" s="2" t="s">
        <v>5</v>
      </c>
      <c r="D273" s="7">
        <v>44266</v>
      </c>
      <c r="E273" s="2">
        <v>0</v>
      </c>
      <c r="F273" s="2">
        <v>53.06666666666667</v>
      </c>
      <c r="G273" s="9">
        <v>-7.4120603015075393E-2</v>
      </c>
      <c r="H273" s="8" t="s">
        <v>10</v>
      </c>
      <c r="I273" s="2" t="s">
        <v>10</v>
      </c>
      <c r="J273" s="2" t="s">
        <v>10</v>
      </c>
      <c r="K273" s="2" t="s">
        <v>10</v>
      </c>
      <c r="L273" s="2" t="s">
        <v>10</v>
      </c>
      <c r="M273" s="2" t="s">
        <v>10</v>
      </c>
      <c r="N273" s="2" t="s">
        <v>10</v>
      </c>
      <c r="O273" s="2" t="s">
        <v>10</v>
      </c>
    </row>
    <row r="274" spans="1:15" x14ac:dyDescent="0.3">
      <c r="A274" s="2" t="s">
        <v>51</v>
      </c>
      <c r="B274" s="2" t="s">
        <v>20</v>
      </c>
      <c r="C274" s="2" t="s">
        <v>4</v>
      </c>
      <c r="D274" s="7">
        <v>44266</v>
      </c>
      <c r="E274" s="2">
        <v>0</v>
      </c>
      <c r="F274" s="2">
        <v>49.316900000000004</v>
      </c>
      <c r="G274" s="9">
        <v>-0.20851067281195679</v>
      </c>
      <c r="H274" s="8" t="s">
        <v>10</v>
      </c>
      <c r="I274" s="2" t="s">
        <v>10</v>
      </c>
      <c r="J274" s="2" t="s">
        <v>10</v>
      </c>
      <c r="K274" s="2" t="s">
        <v>10</v>
      </c>
      <c r="L274" s="2" t="s">
        <v>10</v>
      </c>
      <c r="M274" s="2" t="s">
        <v>10</v>
      </c>
      <c r="N274" s="2" t="s">
        <v>10</v>
      </c>
      <c r="O274" s="2" t="s">
        <v>10</v>
      </c>
    </row>
    <row r="275" spans="1:15" x14ac:dyDescent="0.3">
      <c r="A275" s="2" t="s">
        <v>51</v>
      </c>
      <c r="B275" s="2" t="s">
        <v>21</v>
      </c>
      <c r="C275" s="2" t="s">
        <v>4</v>
      </c>
      <c r="D275" s="7">
        <v>44266</v>
      </c>
      <c r="E275" s="2">
        <v>0</v>
      </c>
      <c r="F275" s="2">
        <v>49.026899999999998</v>
      </c>
      <c r="G275" s="9">
        <v>-0.18302401334777452</v>
      </c>
      <c r="H275" s="8" t="s">
        <v>10</v>
      </c>
      <c r="I275" s="2" t="s">
        <v>10</v>
      </c>
      <c r="J275" s="2" t="s">
        <v>10</v>
      </c>
      <c r="K275" s="2" t="s">
        <v>10</v>
      </c>
      <c r="L275" s="2" t="s">
        <v>10</v>
      </c>
      <c r="M275" s="2" t="s">
        <v>10</v>
      </c>
      <c r="N275" s="2" t="s">
        <v>10</v>
      </c>
      <c r="O275" s="2" t="s">
        <v>10</v>
      </c>
    </row>
    <row r="276" spans="1:15" x14ac:dyDescent="0.3">
      <c r="A276" s="2" t="s">
        <v>51</v>
      </c>
      <c r="B276" s="2" t="s">
        <v>22</v>
      </c>
      <c r="C276" s="2" t="s">
        <v>5</v>
      </c>
      <c r="D276" s="7">
        <v>44266</v>
      </c>
      <c r="E276" s="2">
        <v>0</v>
      </c>
      <c r="F276" s="2">
        <v>65.599999999999994</v>
      </c>
      <c r="G276" s="9">
        <v>-4.2682926829268553E-2</v>
      </c>
      <c r="H276" s="8" t="s">
        <v>10</v>
      </c>
      <c r="I276" s="2" t="s">
        <v>10</v>
      </c>
      <c r="J276" s="2" t="s">
        <v>10</v>
      </c>
      <c r="K276" s="2" t="s">
        <v>10</v>
      </c>
      <c r="L276" s="2" t="s">
        <v>10</v>
      </c>
      <c r="M276" s="2" t="s">
        <v>10</v>
      </c>
      <c r="N276" s="2" t="s">
        <v>10</v>
      </c>
      <c r="O276" s="2" t="s">
        <v>10</v>
      </c>
    </row>
    <row r="277" spans="1:15" x14ac:dyDescent="0.3">
      <c r="A277" s="2" t="s">
        <v>51</v>
      </c>
      <c r="B277" s="2" t="s">
        <v>23</v>
      </c>
      <c r="C277" s="2" t="s">
        <v>4</v>
      </c>
      <c r="D277" s="7">
        <v>44266</v>
      </c>
      <c r="E277" s="2">
        <v>0</v>
      </c>
      <c r="F277" s="2">
        <v>41.929866666666669</v>
      </c>
      <c r="G277" s="9">
        <v>-0.12568924616979471</v>
      </c>
      <c r="H277" s="8" t="s">
        <v>10</v>
      </c>
      <c r="I277" s="2" t="s">
        <v>10</v>
      </c>
      <c r="J277" s="2" t="s">
        <v>10</v>
      </c>
      <c r="K277" s="2" t="s">
        <v>10</v>
      </c>
      <c r="L277" s="2" t="s">
        <v>10</v>
      </c>
      <c r="M277" s="2" t="s">
        <v>10</v>
      </c>
      <c r="N277" s="2" t="s">
        <v>10</v>
      </c>
      <c r="O277" s="2" t="s">
        <v>10</v>
      </c>
    </row>
    <row r="278" spans="1:15" x14ac:dyDescent="0.3">
      <c r="A278" s="2" t="s">
        <v>51</v>
      </c>
      <c r="B278" s="2" t="s">
        <v>24</v>
      </c>
      <c r="C278" s="2" t="s">
        <v>5</v>
      </c>
      <c r="D278" s="7">
        <v>44266</v>
      </c>
      <c r="E278" s="2">
        <v>0</v>
      </c>
      <c r="F278" s="2">
        <v>73.966666666666669</v>
      </c>
      <c r="G278" s="9">
        <v>-8.6976115367282558E-2</v>
      </c>
      <c r="H278" s="8" t="s">
        <v>10</v>
      </c>
      <c r="I278" s="2" t="s">
        <v>10</v>
      </c>
      <c r="J278" s="2" t="s">
        <v>10</v>
      </c>
      <c r="K278" s="2" t="s">
        <v>10</v>
      </c>
      <c r="L278" s="2" t="s">
        <v>10</v>
      </c>
      <c r="M278" s="2" t="s">
        <v>10</v>
      </c>
      <c r="N278" s="2" t="s">
        <v>10</v>
      </c>
      <c r="O278" s="2" t="s">
        <v>10</v>
      </c>
    </row>
    <row r="279" spans="1:15" x14ac:dyDescent="0.3">
      <c r="A279" s="2" t="s">
        <v>51</v>
      </c>
      <c r="B279" s="2" t="s">
        <v>25</v>
      </c>
      <c r="C279" s="2" t="s">
        <v>4</v>
      </c>
      <c r="D279" s="7">
        <v>44266</v>
      </c>
      <c r="E279" s="2">
        <v>0</v>
      </c>
      <c r="F279" s="2">
        <v>55.716800000000006</v>
      </c>
      <c r="G279" s="9">
        <v>-0.18097234586336608</v>
      </c>
      <c r="H279" s="8" t="s">
        <v>10</v>
      </c>
      <c r="I279" s="2" t="s">
        <v>10</v>
      </c>
      <c r="J279" s="2" t="s">
        <v>10</v>
      </c>
      <c r="K279" s="2" t="s">
        <v>10</v>
      </c>
      <c r="L279" s="2" t="s">
        <v>10</v>
      </c>
      <c r="M279" s="2" t="s">
        <v>10</v>
      </c>
      <c r="N279" s="2" t="s">
        <v>10</v>
      </c>
      <c r="O279" s="2" t="s">
        <v>10</v>
      </c>
    </row>
    <row r="280" spans="1:15" x14ac:dyDescent="0.3">
      <c r="A280" s="2" t="s">
        <v>52</v>
      </c>
      <c r="B280" s="2" t="s">
        <v>26</v>
      </c>
      <c r="C280" s="2" t="s">
        <v>4</v>
      </c>
      <c r="D280" s="7">
        <v>44266</v>
      </c>
      <c r="E280" s="2">
        <v>0</v>
      </c>
      <c r="F280" s="2">
        <v>42.677233333333341</v>
      </c>
      <c r="G280" s="9">
        <v>-0.17627118908832728</v>
      </c>
      <c r="H280" s="8" t="s">
        <v>10</v>
      </c>
      <c r="I280" s="2" t="s">
        <v>10</v>
      </c>
      <c r="J280" s="2" t="s">
        <v>10</v>
      </c>
      <c r="K280" s="2" t="s">
        <v>10</v>
      </c>
      <c r="L280" s="2" t="s">
        <v>10</v>
      </c>
      <c r="M280" s="2" t="s">
        <v>10</v>
      </c>
      <c r="N280" s="2" t="s">
        <v>10</v>
      </c>
      <c r="O280" s="2" t="s">
        <v>10</v>
      </c>
    </row>
    <row r="281" spans="1:15" x14ac:dyDescent="0.3">
      <c r="A281" s="2" t="s">
        <v>52</v>
      </c>
      <c r="B281" s="2" t="s">
        <v>27</v>
      </c>
      <c r="C281" s="2" t="s">
        <v>5</v>
      </c>
      <c r="D281" s="7">
        <v>44266</v>
      </c>
      <c r="E281" s="2">
        <v>0</v>
      </c>
      <c r="F281" s="2">
        <v>61.083333333333336</v>
      </c>
      <c r="G281" s="9">
        <v>0.10941336971350613</v>
      </c>
      <c r="H281" s="8" t="s">
        <v>10</v>
      </c>
      <c r="I281" s="2" t="s">
        <v>10</v>
      </c>
      <c r="J281" s="2" t="s">
        <v>10</v>
      </c>
      <c r="K281" s="2" t="s">
        <v>10</v>
      </c>
      <c r="L281" s="2" t="s">
        <v>10</v>
      </c>
      <c r="M281" s="2" t="s">
        <v>10</v>
      </c>
      <c r="N281" s="2" t="s">
        <v>10</v>
      </c>
      <c r="O281" s="2" t="s">
        <v>10</v>
      </c>
    </row>
    <row r="282" spans="1:15" x14ac:dyDescent="0.3">
      <c r="A282" s="2" t="s">
        <v>52</v>
      </c>
      <c r="B282" s="2" t="s">
        <v>28</v>
      </c>
      <c r="C282" s="2" t="s">
        <v>5</v>
      </c>
      <c r="D282" s="7">
        <v>44266</v>
      </c>
      <c r="E282" s="2">
        <v>0</v>
      </c>
      <c r="F282" s="2">
        <v>62.466666666666669</v>
      </c>
      <c r="G282" s="9">
        <v>-0.23585912486659555</v>
      </c>
      <c r="H282" s="8" t="s">
        <v>10</v>
      </c>
      <c r="I282" s="2" t="s">
        <v>10</v>
      </c>
      <c r="J282" s="2" t="s">
        <v>10</v>
      </c>
      <c r="K282" s="2" t="s">
        <v>10</v>
      </c>
      <c r="L282" s="2" t="s">
        <v>10</v>
      </c>
      <c r="M282" s="2" t="s">
        <v>10</v>
      </c>
      <c r="N282" s="2" t="s">
        <v>10</v>
      </c>
      <c r="O282" s="2" t="s">
        <v>10</v>
      </c>
    </row>
    <row r="283" spans="1:15" x14ac:dyDescent="0.3">
      <c r="A283" s="2" t="s">
        <v>53</v>
      </c>
      <c r="B283" s="2" t="s">
        <v>29</v>
      </c>
      <c r="C283" s="2" t="s">
        <v>4</v>
      </c>
      <c r="D283" s="7">
        <v>44266</v>
      </c>
      <c r="E283" s="2">
        <v>0</v>
      </c>
      <c r="F283" s="2">
        <v>46.117266666666666</v>
      </c>
      <c r="G283" s="9">
        <v>-0.22296927109007636</v>
      </c>
      <c r="H283" s="8" t="s">
        <v>10</v>
      </c>
      <c r="I283" s="2" t="s">
        <v>10</v>
      </c>
      <c r="J283" s="2" t="s">
        <v>10</v>
      </c>
      <c r="K283" s="2" t="s">
        <v>10</v>
      </c>
      <c r="L283" s="2" t="s">
        <v>10</v>
      </c>
      <c r="M283" s="2" t="s">
        <v>10</v>
      </c>
      <c r="N283" s="2" t="s">
        <v>10</v>
      </c>
      <c r="O283" s="2" t="s">
        <v>10</v>
      </c>
    </row>
    <row r="284" spans="1:15" x14ac:dyDescent="0.3">
      <c r="A284" s="2" t="s">
        <v>53</v>
      </c>
      <c r="B284" s="2" t="s">
        <v>30</v>
      </c>
      <c r="C284" s="2" t="s">
        <v>5</v>
      </c>
      <c r="D284" s="7">
        <v>44266</v>
      </c>
      <c r="E284" s="2">
        <v>0</v>
      </c>
      <c r="F284" s="2">
        <v>51.733333333333327</v>
      </c>
      <c r="G284" s="9">
        <v>-0.13273195876288657</v>
      </c>
      <c r="H284" s="8" t="s">
        <v>10</v>
      </c>
      <c r="I284" s="2" t="s">
        <v>10</v>
      </c>
      <c r="J284" s="2" t="s">
        <v>10</v>
      </c>
      <c r="K284" s="2" t="s">
        <v>10</v>
      </c>
      <c r="L284" s="2" t="s">
        <v>10</v>
      </c>
      <c r="M284" s="2" t="s">
        <v>10</v>
      </c>
      <c r="N284" s="2" t="s">
        <v>10</v>
      </c>
      <c r="O284" s="2" t="s">
        <v>10</v>
      </c>
    </row>
    <row r="285" spans="1:15" x14ac:dyDescent="0.3">
      <c r="A285" s="2" t="s">
        <v>53</v>
      </c>
      <c r="B285" s="2" t="s">
        <v>31</v>
      </c>
      <c r="C285" s="2" t="s">
        <v>4</v>
      </c>
      <c r="D285" s="7">
        <v>44266</v>
      </c>
      <c r="E285" s="2">
        <v>0</v>
      </c>
      <c r="F285" s="2">
        <v>37.408666666666669</v>
      </c>
      <c r="G285" s="9">
        <v>-0.31520325058364373</v>
      </c>
      <c r="H285" s="8" t="s">
        <v>10</v>
      </c>
      <c r="I285" s="2" t="s">
        <v>10</v>
      </c>
      <c r="J285" s="2" t="s">
        <v>10</v>
      </c>
      <c r="K285" s="2" t="s">
        <v>10</v>
      </c>
      <c r="L285" s="2" t="s">
        <v>10</v>
      </c>
      <c r="M285" s="2" t="s">
        <v>10</v>
      </c>
      <c r="N285" s="2" t="s">
        <v>10</v>
      </c>
      <c r="O285" s="2" t="s">
        <v>10</v>
      </c>
    </row>
    <row r="286" spans="1:15" x14ac:dyDescent="0.3">
      <c r="A286" s="2" t="s">
        <v>53</v>
      </c>
      <c r="B286" s="2" t="s">
        <v>32</v>
      </c>
      <c r="C286" s="2" t="s">
        <v>5</v>
      </c>
      <c r="D286" s="7">
        <v>44266</v>
      </c>
      <c r="E286" s="2">
        <v>0</v>
      </c>
      <c r="F286" s="2">
        <v>57.133333333333333</v>
      </c>
      <c r="G286" s="9">
        <v>-0.13418903150525074</v>
      </c>
      <c r="H286" s="8" t="s">
        <v>10</v>
      </c>
      <c r="I286" s="2" t="s">
        <v>10</v>
      </c>
      <c r="J286" s="2" t="s">
        <v>10</v>
      </c>
      <c r="K286" s="2" t="s">
        <v>10</v>
      </c>
      <c r="L286" s="2" t="s">
        <v>10</v>
      </c>
      <c r="M286" s="2" t="s">
        <v>10</v>
      </c>
      <c r="N286" s="2" t="s">
        <v>10</v>
      </c>
      <c r="O286" s="2" t="s">
        <v>10</v>
      </c>
    </row>
    <row r="287" spans="1:15" x14ac:dyDescent="0.3">
      <c r="A287" s="2" t="s">
        <v>53</v>
      </c>
      <c r="B287" s="2" t="s">
        <v>33</v>
      </c>
      <c r="C287" s="2" t="s">
        <v>4</v>
      </c>
      <c r="D287" s="7">
        <v>44266</v>
      </c>
      <c r="E287" s="2">
        <v>1</v>
      </c>
      <c r="F287" s="2" t="s">
        <v>10</v>
      </c>
      <c r="G287" s="9" t="s">
        <v>10</v>
      </c>
      <c r="H287" s="8" t="s">
        <v>10</v>
      </c>
      <c r="I287" s="2" t="s">
        <v>10</v>
      </c>
      <c r="J287" s="2" t="s">
        <v>10</v>
      </c>
      <c r="K287" s="2" t="s">
        <v>10</v>
      </c>
      <c r="L287" s="2" t="s">
        <v>10</v>
      </c>
      <c r="M287" s="2" t="s">
        <v>10</v>
      </c>
      <c r="N287" s="2" t="s">
        <v>10</v>
      </c>
      <c r="O287" s="2" t="s">
        <v>10</v>
      </c>
    </row>
    <row r="288" spans="1:15" x14ac:dyDescent="0.3">
      <c r="A288" s="2" t="s">
        <v>53</v>
      </c>
      <c r="B288" s="2" t="s">
        <v>34</v>
      </c>
      <c r="C288" s="2" t="s">
        <v>5</v>
      </c>
      <c r="D288" s="7">
        <v>44266</v>
      </c>
      <c r="E288" s="2">
        <v>0</v>
      </c>
      <c r="F288" s="2">
        <v>46.666666666666671</v>
      </c>
      <c r="G288" s="9">
        <v>-0.13571428571428568</v>
      </c>
      <c r="H288" s="8" t="s">
        <v>10</v>
      </c>
      <c r="I288" s="2" t="s">
        <v>10</v>
      </c>
      <c r="J288" s="2" t="s">
        <v>10</v>
      </c>
      <c r="K288" s="2" t="s">
        <v>10</v>
      </c>
      <c r="L288" s="2" t="s">
        <v>10</v>
      </c>
      <c r="M288" s="2" t="s">
        <v>10</v>
      </c>
      <c r="N288" s="2" t="s">
        <v>10</v>
      </c>
      <c r="O288" s="2" t="s">
        <v>10</v>
      </c>
    </row>
    <row r="289" spans="1:15" x14ac:dyDescent="0.3">
      <c r="A289" s="2" t="s">
        <v>53</v>
      </c>
      <c r="B289" s="2" t="s">
        <v>35</v>
      </c>
      <c r="C289" s="2" t="s">
        <v>5</v>
      </c>
      <c r="D289" s="7">
        <v>44266</v>
      </c>
      <c r="E289" s="2">
        <v>0</v>
      </c>
      <c r="F289" s="2">
        <v>45.733333333333334</v>
      </c>
      <c r="G289" s="9">
        <v>-0.14577259475218662</v>
      </c>
      <c r="H289" s="8" t="s">
        <v>10</v>
      </c>
      <c r="I289" s="2" t="s">
        <v>10</v>
      </c>
      <c r="J289" s="2" t="s">
        <v>10</v>
      </c>
      <c r="K289" s="2" t="s">
        <v>10</v>
      </c>
      <c r="L289" s="2" t="s">
        <v>10</v>
      </c>
      <c r="M289" s="2" t="s">
        <v>10</v>
      </c>
      <c r="N289" s="2" t="s">
        <v>10</v>
      </c>
      <c r="O289" s="2" t="s">
        <v>10</v>
      </c>
    </row>
    <row r="290" spans="1:15" x14ac:dyDescent="0.3">
      <c r="A290" s="2" t="s">
        <v>53</v>
      </c>
      <c r="B290" s="2" t="s">
        <v>36</v>
      </c>
      <c r="C290" s="2" t="s">
        <v>4</v>
      </c>
      <c r="D290" s="7">
        <v>44266</v>
      </c>
      <c r="E290" s="2">
        <v>0</v>
      </c>
      <c r="F290" s="2">
        <v>53.029533333333333</v>
      </c>
      <c r="G290" s="9">
        <v>-0.14275944347992242</v>
      </c>
      <c r="H290" s="8" t="s">
        <v>10</v>
      </c>
      <c r="I290" s="2" t="s">
        <v>10</v>
      </c>
      <c r="J290" s="2" t="s">
        <v>10</v>
      </c>
      <c r="K290" s="2" t="s">
        <v>10</v>
      </c>
      <c r="L290" s="2" t="s">
        <v>10</v>
      </c>
      <c r="M290" s="2" t="s">
        <v>10</v>
      </c>
      <c r="N290" s="2" t="s">
        <v>10</v>
      </c>
      <c r="O290" s="2" t="s">
        <v>10</v>
      </c>
    </row>
    <row r="291" spans="1:15" x14ac:dyDescent="0.3">
      <c r="A291" s="2" t="s">
        <v>54</v>
      </c>
      <c r="B291" s="2" t="s">
        <v>37</v>
      </c>
      <c r="C291" s="2" t="s">
        <v>5</v>
      </c>
      <c r="D291" s="7">
        <v>44266</v>
      </c>
      <c r="E291" s="2">
        <v>0</v>
      </c>
      <c r="F291" s="2">
        <v>74.366666666666674</v>
      </c>
      <c r="G291" s="9">
        <v>-0.17794710891976662</v>
      </c>
      <c r="H291" s="8" t="s">
        <v>10</v>
      </c>
      <c r="I291" s="2" t="s">
        <v>10</v>
      </c>
      <c r="J291" s="2" t="s">
        <v>10</v>
      </c>
      <c r="K291" s="2" t="s">
        <v>10</v>
      </c>
      <c r="L291" s="2" t="s">
        <v>10</v>
      </c>
      <c r="M291" s="2" t="s">
        <v>10</v>
      </c>
      <c r="N291" s="2" t="s">
        <v>10</v>
      </c>
      <c r="O291" s="2" t="s">
        <v>10</v>
      </c>
    </row>
    <row r="292" spans="1:15" x14ac:dyDescent="0.3">
      <c r="A292" s="2" t="s">
        <v>54</v>
      </c>
      <c r="B292" s="2" t="s">
        <v>38</v>
      </c>
      <c r="C292" s="2" t="s">
        <v>4</v>
      </c>
      <c r="D292" s="7">
        <v>44266</v>
      </c>
      <c r="E292" s="2">
        <v>0</v>
      </c>
      <c r="F292" s="2">
        <v>65.817799999999991</v>
      </c>
      <c r="G292" s="9">
        <v>-0.17597367277544995</v>
      </c>
      <c r="H292" s="8" t="s">
        <v>10</v>
      </c>
      <c r="I292" s="2" t="s">
        <v>10</v>
      </c>
      <c r="J292" s="2" t="s">
        <v>10</v>
      </c>
      <c r="K292" s="2" t="s">
        <v>10</v>
      </c>
      <c r="L292" s="2" t="s">
        <v>10</v>
      </c>
      <c r="M292" s="2" t="s">
        <v>10</v>
      </c>
      <c r="N292" s="2" t="s">
        <v>10</v>
      </c>
      <c r="O292" s="2" t="s">
        <v>10</v>
      </c>
    </row>
    <row r="293" spans="1:15" x14ac:dyDescent="0.3">
      <c r="A293" s="2" t="s">
        <v>54</v>
      </c>
      <c r="B293" s="2" t="s">
        <v>39</v>
      </c>
      <c r="C293" s="2" t="s">
        <v>5</v>
      </c>
      <c r="D293" s="7">
        <v>44266</v>
      </c>
      <c r="E293" s="2">
        <v>0</v>
      </c>
      <c r="F293" s="2">
        <v>71.849999999999994</v>
      </c>
      <c r="G293" s="9">
        <v>4.2449547668754306E-2</v>
      </c>
      <c r="H293" s="8" t="s">
        <v>10</v>
      </c>
      <c r="I293" s="2" t="s">
        <v>10</v>
      </c>
      <c r="J293" s="2" t="s">
        <v>10</v>
      </c>
      <c r="K293" s="2" t="s">
        <v>10</v>
      </c>
      <c r="L293" s="2" t="s">
        <v>10</v>
      </c>
      <c r="M293" s="2" t="s">
        <v>10</v>
      </c>
      <c r="N293" s="2" t="s">
        <v>10</v>
      </c>
      <c r="O293" s="2" t="s">
        <v>10</v>
      </c>
    </row>
    <row r="294" spans="1:15" x14ac:dyDescent="0.3">
      <c r="A294" s="2" t="s">
        <v>55</v>
      </c>
      <c r="B294" s="2" t="s">
        <v>40</v>
      </c>
      <c r="C294" s="2" t="s">
        <v>4</v>
      </c>
      <c r="D294" s="7">
        <v>44266</v>
      </c>
      <c r="E294" s="2">
        <v>0</v>
      </c>
      <c r="F294" s="2">
        <v>61.309766666666661</v>
      </c>
      <c r="G294" s="9">
        <v>-0.17110215718757171</v>
      </c>
      <c r="H294" s="8" t="s">
        <v>10</v>
      </c>
      <c r="I294" s="2" t="s">
        <v>10</v>
      </c>
      <c r="J294" s="2" t="s">
        <v>10</v>
      </c>
      <c r="K294" s="2" t="s">
        <v>10</v>
      </c>
      <c r="L294" s="2" t="s">
        <v>10</v>
      </c>
      <c r="M294" s="2" t="s">
        <v>10</v>
      </c>
      <c r="N294" s="2" t="s">
        <v>10</v>
      </c>
      <c r="O294" s="2" t="s">
        <v>10</v>
      </c>
    </row>
    <row r="295" spans="1:15" x14ac:dyDescent="0.3">
      <c r="A295" s="2" t="s">
        <v>55</v>
      </c>
      <c r="B295" s="2" t="s">
        <v>41</v>
      </c>
      <c r="C295" s="2" t="s">
        <v>5</v>
      </c>
      <c r="D295" s="7">
        <v>44266</v>
      </c>
      <c r="E295" s="2">
        <v>0</v>
      </c>
      <c r="F295" s="2">
        <v>52.85</v>
      </c>
      <c r="G295" s="9">
        <v>-0.18826868495742666</v>
      </c>
      <c r="H295" s="8" t="s">
        <v>10</v>
      </c>
      <c r="I295" s="2" t="s">
        <v>10</v>
      </c>
      <c r="J295" s="2" t="s">
        <v>10</v>
      </c>
      <c r="K295" s="2" t="s">
        <v>10</v>
      </c>
      <c r="L295" s="2" t="s">
        <v>10</v>
      </c>
      <c r="M295" s="2" t="s">
        <v>10</v>
      </c>
      <c r="N295" s="2" t="s">
        <v>10</v>
      </c>
      <c r="O295" s="2" t="s">
        <v>10</v>
      </c>
    </row>
    <row r="296" spans="1:15" x14ac:dyDescent="0.3">
      <c r="A296" s="2" t="s">
        <v>55</v>
      </c>
      <c r="B296" s="2" t="s">
        <v>42</v>
      </c>
      <c r="C296" s="2" t="s">
        <v>5</v>
      </c>
      <c r="D296" s="7">
        <v>44266</v>
      </c>
      <c r="E296" s="2">
        <v>0</v>
      </c>
      <c r="F296" s="2">
        <v>60.20000000000001</v>
      </c>
      <c r="G296" s="9">
        <v>-0.10963455149501633</v>
      </c>
      <c r="H296" s="8" t="s">
        <v>10</v>
      </c>
      <c r="I296" s="2" t="s">
        <v>10</v>
      </c>
      <c r="J296" s="2" t="s">
        <v>10</v>
      </c>
      <c r="K296" s="2" t="s">
        <v>10</v>
      </c>
      <c r="L296" s="2" t="s">
        <v>10</v>
      </c>
      <c r="M296" s="2" t="s">
        <v>10</v>
      </c>
      <c r="N296" s="2" t="s">
        <v>10</v>
      </c>
      <c r="O296" s="2" t="s">
        <v>10</v>
      </c>
    </row>
    <row r="297" spans="1:15" x14ac:dyDescent="0.3">
      <c r="A297" s="2" t="s">
        <v>55</v>
      </c>
      <c r="B297" s="2" t="s">
        <v>43</v>
      </c>
      <c r="C297" s="2" t="s">
        <v>4</v>
      </c>
      <c r="D297" s="7">
        <v>44266</v>
      </c>
      <c r="E297" s="2">
        <v>1</v>
      </c>
      <c r="F297" s="2">
        <v>63.358766666666661</v>
      </c>
      <c r="G297" s="9" t="s">
        <v>10</v>
      </c>
      <c r="H297" s="8" t="s">
        <v>10</v>
      </c>
      <c r="I297" s="2" t="s">
        <v>10</v>
      </c>
      <c r="J297" s="2" t="s">
        <v>10</v>
      </c>
      <c r="K297" s="2" t="s">
        <v>10</v>
      </c>
      <c r="L297" s="2" t="s">
        <v>10</v>
      </c>
      <c r="M297" s="2" t="s">
        <v>10</v>
      </c>
      <c r="N297" s="2" t="s">
        <v>10</v>
      </c>
      <c r="O297" s="2" t="s">
        <v>10</v>
      </c>
    </row>
    <row r="298" spans="1:15" x14ac:dyDescent="0.3">
      <c r="A298" s="2" t="s">
        <v>56</v>
      </c>
      <c r="B298" s="2" t="s">
        <v>44</v>
      </c>
      <c r="C298" s="2" t="s">
        <v>5</v>
      </c>
      <c r="D298" s="7">
        <v>44266</v>
      </c>
      <c r="E298" s="2">
        <v>0</v>
      </c>
      <c r="F298" s="2">
        <v>61.733333333333327</v>
      </c>
      <c r="G298" s="9">
        <v>-0.15334773218142539</v>
      </c>
      <c r="H298" s="8" t="s">
        <v>10</v>
      </c>
      <c r="I298" s="2" t="s">
        <v>10</v>
      </c>
      <c r="J298" s="2" t="s">
        <v>10</v>
      </c>
      <c r="K298" s="2" t="s">
        <v>10</v>
      </c>
      <c r="L298" s="2" t="s">
        <v>10</v>
      </c>
      <c r="M298" s="2" t="s">
        <v>10</v>
      </c>
      <c r="N298" s="2" t="s">
        <v>10</v>
      </c>
      <c r="O298" s="2" t="s">
        <v>10</v>
      </c>
    </row>
    <row r="299" spans="1:15" x14ac:dyDescent="0.3">
      <c r="A299" s="2" t="s">
        <v>56</v>
      </c>
      <c r="B299" s="2" t="s">
        <v>45</v>
      </c>
      <c r="C299" s="2" t="s">
        <v>4</v>
      </c>
      <c r="D299" s="7">
        <v>44266</v>
      </c>
      <c r="E299" s="2">
        <v>0</v>
      </c>
      <c r="F299" s="2">
        <v>61.565600000000011</v>
      </c>
      <c r="G299" s="9">
        <v>-0.42612108060345366</v>
      </c>
      <c r="H299" s="8" t="s">
        <v>10</v>
      </c>
      <c r="I299" s="2" t="s">
        <v>10</v>
      </c>
      <c r="J299" s="2" t="s">
        <v>10</v>
      </c>
      <c r="K299" s="2" t="s">
        <v>10</v>
      </c>
      <c r="L299" s="2" t="s">
        <v>10</v>
      </c>
      <c r="M299" s="2" t="s">
        <v>10</v>
      </c>
      <c r="N299" s="2" t="s">
        <v>10</v>
      </c>
      <c r="O299" s="2" t="s">
        <v>10</v>
      </c>
    </row>
    <row r="300" spans="1:15" x14ac:dyDescent="0.3">
      <c r="A300" s="2" t="s">
        <v>56</v>
      </c>
      <c r="B300" s="2" t="s">
        <v>46</v>
      </c>
      <c r="C300" s="2" t="s">
        <v>4</v>
      </c>
      <c r="D300" s="7">
        <v>44266</v>
      </c>
      <c r="E300" s="2">
        <v>0</v>
      </c>
      <c r="F300" s="2">
        <v>41.166866666666671</v>
      </c>
      <c r="G300" s="9">
        <v>-0.43804969368569857</v>
      </c>
      <c r="H300" s="8" t="s">
        <v>10</v>
      </c>
      <c r="I300" s="2" t="s">
        <v>10</v>
      </c>
      <c r="J300" s="2" t="s">
        <v>10</v>
      </c>
      <c r="K300" s="2" t="s">
        <v>10</v>
      </c>
      <c r="L300" s="2" t="s">
        <v>10</v>
      </c>
      <c r="M300" s="2" t="s">
        <v>10</v>
      </c>
      <c r="N300" s="2" t="s">
        <v>10</v>
      </c>
      <c r="O300" s="2" t="s">
        <v>10</v>
      </c>
    </row>
    <row r="301" spans="1:15" x14ac:dyDescent="0.3">
      <c r="A301" s="2" t="s">
        <v>56</v>
      </c>
      <c r="B301" s="2" t="s">
        <v>47</v>
      </c>
      <c r="C301" s="2" t="s">
        <v>5</v>
      </c>
      <c r="D301" s="7">
        <v>44266</v>
      </c>
      <c r="E301" s="2">
        <v>0</v>
      </c>
      <c r="F301" s="2">
        <v>48.916666666666664</v>
      </c>
      <c r="G301" s="9">
        <v>-0.1734241908006815</v>
      </c>
      <c r="H301" s="8" t="s">
        <v>10</v>
      </c>
      <c r="I301" s="2" t="s">
        <v>10</v>
      </c>
      <c r="J301" s="2" t="s">
        <v>10</v>
      </c>
      <c r="K301" s="2" t="s">
        <v>10</v>
      </c>
      <c r="L301" s="2" t="s">
        <v>10</v>
      </c>
      <c r="M301" s="2" t="s">
        <v>10</v>
      </c>
      <c r="N301" s="2" t="s">
        <v>10</v>
      </c>
      <c r="O301" s="2" t="s">
        <v>10</v>
      </c>
    </row>
    <row r="302" spans="1:15" x14ac:dyDescent="0.3">
      <c r="A302" s="2" t="s">
        <v>56</v>
      </c>
      <c r="B302" s="2" t="s">
        <v>48</v>
      </c>
      <c r="C302" s="2" t="s">
        <v>4</v>
      </c>
      <c r="D302" s="7">
        <v>44266</v>
      </c>
      <c r="E302" s="2">
        <v>0</v>
      </c>
      <c r="F302" s="2">
        <v>40.290800000000004</v>
      </c>
      <c r="G302" s="9">
        <v>-0.49413761950618995</v>
      </c>
      <c r="H302" s="8" t="s">
        <v>10</v>
      </c>
      <c r="I302" s="2" t="s">
        <v>10</v>
      </c>
      <c r="J302" s="2" t="s">
        <v>10</v>
      </c>
      <c r="K302" s="2" t="s">
        <v>10</v>
      </c>
      <c r="L302" s="2" t="s">
        <v>10</v>
      </c>
      <c r="M302" s="2" t="s">
        <v>10</v>
      </c>
      <c r="N302" s="2" t="s">
        <v>10</v>
      </c>
      <c r="O302" s="2" t="s">
        <v>10</v>
      </c>
    </row>
    <row r="303" spans="1:15" x14ac:dyDescent="0.3">
      <c r="A303" s="2" t="s">
        <v>49</v>
      </c>
      <c r="B303" s="2" t="s">
        <v>3</v>
      </c>
      <c r="C303" s="2" t="s">
        <v>4</v>
      </c>
      <c r="D303" s="7">
        <v>44277</v>
      </c>
      <c r="E303" s="2">
        <v>0</v>
      </c>
      <c r="F303" s="2">
        <v>66.224899999999991</v>
      </c>
      <c r="G303" s="9">
        <v>4.5676173161454225E-2</v>
      </c>
      <c r="H303" s="8" t="s">
        <v>10</v>
      </c>
      <c r="I303" s="2" t="s">
        <v>10</v>
      </c>
      <c r="J303" s="2" t="s">
        <v>10</v>
      </c>
      <c r="K303" s="2" t="s">
        <v>10</v>
      </c>
      <c r="L303" s="2" t="s">
        <v>10</v>
      </c>
      <c r="M303" s="2" t="s">
        <v>10</v>
      </c>
      <c r="N303" s="2" t="s">
        <v>10</v>
      </c>
      <c r="O303" s="2" t="s">
        <v>10</v>
      </c>
    </row>
    <row r="304" spans="1:15" x14ac:dyDescent="0.3">
      <c r="A304" s="2" t="s">
        <v>49</v>
      </c>
      <c r="B304" s="2" t="s">
        <v>6</v>
      </c>
      <c r="C304" s="2" t="s">
        <v>5</v>
      </c>
      <c r="D304" s="7">
        <v>44277</v>
      </c>
      <c r="E304" s="2">
        <v>0</v>
      </c>
      <c r="F304" s="2">
        <v>58.333333333333336</v>
      </c>
      <c r="G304" s="9">
        <v>5.7142857142857828E-3</v>
      </c>
      <c r="H304" s="8" t="s">
        <v>10</v>
      </c>
      <c r="I304" s="2" t="s">
        <v>10</v>
      </c>
      <c r="J304" s="2" t="s">
        <v>10</v>
      </c>
      <c r="K304" s="2" t="s">
        <v>10</v>
      </c>
      <c r="L304" s="2" t="s">
        <v>10</v>
      </c>
      <c r="M304" s="2" t="s">
        <v>10</v>
      </c>
      <c r="N304" s="2" t="s">
        <v>10</v>
      </c>
      <c r="O304" s="2" t="s">
        <v>10</v>
      </c>
    </row>
    <row r="305" spans="1:15" x14ac:dyDescent="0.3">
      <c r="A305" s="2" t="s">
        <v>49</v>
      </c>
      <c r="B305" s="2" t="s">
        <v>7</v>
      </c>
      <c r="C305" s="2" t="s">
        <v>4</v>
      </c>
      <c r="D305" s="7">
        <v>44277</v>
      </c>
      <c r="E305" s="2">
        <v>0</v>
      </c>
      <c r="F305" s="2">
        <v>42.179500000000004</v>
      </c>
      <c r="G305" s="9">
        <v>-0.31817589113194789</v>
      </c>
      <c r="H305" s="8" t="s">
        <v>10</v>
      </c>
      <c r="I305" s="2" t="s">
        <v>10</v>
      </c>
      <c r="J305" s="2" t="s">
        <v>10</v>
      </c>
      <c r="K305" s="2" t="s">
        <v>10</v>
      </c>
      <c r="L305" s="2" t="s">
        <v>10</v>
      </c>
      <c r="M305" s="2" t="s">
        <v>10</v>
      </c>
      <c r="N305" s="2" t="s">
        <v>10</v>
      </c>
      <c r="O305" s="2" t="s">
        <v>10</v>
      </c>
    </row>
    <row r="306" spans="1:15" x14ac:dyDescent="0.3">
      <c r="A306" s="2" t="s">
        <v>49</v>
      </c>
      <c r="B306" s="2" t="s">
        <v>8</v>
      </c>
      <c r="C306" s="2" t="s">
        <v>5</v>
      </c>
      <c r="D306" s="7">
        <v>44277</v>
      </c>
      <c r="E306" s="2">
        <v>0</v>
      </c>
      <c r="F306" s="2">
        <v>53.4</v>
      </c>
      <c r="G306" s="9">
        <v>-0.21722846441947574</v>
      </c>
      <c r="H306" s="8" t="s">
        <v>10</v>
      </c>
      <c r="I306" s="2" t="s">
        <v>10</v>
      </c>
      <c r="J306" s="2" t="s">
        <v>10</v>
      </c>
      <c r="K306" s="2" t="s">
        <v>10</v>
      </c>
      <c r="L306" s="2" t="s">
        <v>10</v>
      </c>
      <c r="M306" s="2" t="s">
        <v>10</v>
      </c>
      <c r="N306" s="2" t="s">
        <v>10</v>
      </c>
      <c r="O306" s="2" t="s">
        <v>10</v>
      </c>
    </row>
    <row r="307" spans="1:15" x14ac:dyDescent="0.3">
      <c r="A307" s="2" t="s">
        <v>50</v>
      </c>
      <c r="B307" s="2" t="s">
        <v>9</v>
      </c>
      <c r="C307" s="2" t="s">
        <v>4</v>
      </c>
      <c r="D307" s="7">
        <v>44277</v>
      </c>
      <c r="E307" s="2">
        <v>1</v>
      </c>
      <c r="F307" s="2" t="s">
        <v>10</v>
      </c>
      <c r="G307" s="9" t="s">
        <v>10</v>
      </c>
      <c r="H307" s="8" t="s">
        <v>10</v>
      </c>
      <c r="I307" s="2" t="s">
        <v>10</v>
      </c>
      <c r="J307" s="2" t="s">
        <v>10</v>
      </c>
      <c r="K307" s="2" t="s">
        <v>10</v>
      </c>
      <c r="L307" s="2" t="s">
        <v>10</v>
      </c>
      <c r="M307" s="2" t="s">
        <v>10</v>
      </c>
      <c r="N307" s="2" t="s">
        <v>10</v>
      </c>
      <c r="O307" s="2" t="s">
        <v>10</v>
      </c>
    </row>
    <row r="308" spans="1:15" x14ac:dyDescent="0.3">
      <c r="A308" s="2" t="s">
        <v>50</v>
      </c>
      <c r="B308" s="2" t="s">
        <v>11</v>
      </c>
      <c r="C308" s="2" t="s">
        <v>5</v>
      </c>
      <c r="D308" s="7">
        <v>44277</v>
      </c>
      <c r="E308" s="2">
        <v>0</v>
      </c>
      <c r="F308" s="2">
        <v>59.300000000000004</v>
      </c>
      <c r="G308" s="9">
        <v>-0.23777403035413158</v>
      </c>
      <c r="H308" s="8" t="s">
        <v>10</v>
      </c>
      <c r="I308" s="2" t="s">
        <v>10</v>
      </c>
      <c r="J308" s="2" t="s">
        <v>10</v>
      </c>
      <c r="K308" s="2" t="s">
        <v>10</v>
      </c>
      <c r="L308" s="2" t="s">
        <v>10</v>
      </c>
      <c r="M308" s="2" t="s">
        <v>10</v>
      </c>
      <c r="N308" s="2" t="s">
        <v>10</v>
      </c>
      <c r="O308" s="2" t="s">
        <v>10</v>
      </c>
    </row>
    <row r="309" spans="1:15" x14ac:dyDescent="0.3">
      <c r="A309" s="2" t="s">
        <v>50</v>
      </c>
      <c r="B309" s="2" t="s">
        <v>12</v>
      </c>
      <c r="C309" s="2" t="s">
        <v>5</v>
      </c>
      <c r="D309" s="7">
        <v>44277</v>
      </c>
      <c r="E309" s="2">
        <v>0</v>
      </c>
      <c r="F309" s="2">
        <v>57.733333333333334</v>
      </c>
      <c r="G309" s="9">
        <v>-0.19861431870669732</v>
      </c>
      <c r="H309" s="8" t="s">
        <v>10</v>
      </c>
      <c r="I309" s="2" t="s">
        <v>10</v>
      </c>
      <c r="J309" s="2" t="s">
        <v>10</v>
      </c>
      <c r="K309" s="2" t="s">
        <v>10</v>
      </c>
      <c r="L309" s="2" t="s">
        <v>10</v>
      </c>
      <c r="M309" s="2" t="s">
        <v>10</v>
      </c>
      <c r="N309" s="2" t="s">
        <v>10</v>
      </c>
      <c r="O309" s="2" t="s">
        <v>10</v>
      </c>
    </row>
    <row r="310" spans="1:15" x14ac:dyDescent="0.3">
      <c r="A310" s="2" t="s">
        <v>50</v>
      </c>
      <c r="B310" s="2" t="s">
        <v>13</v>
      </c>
      <c r="C310" s="2" t="s">
        <v>4</v>
      </c>
      <c r="D310" s="7">
        <v>44277</v>
      </c>
      <c r="E310" s="2">
        <v>0</v>
      </c>
      <c r="F310" s="2">
        <v>43.714799999999997</v>
      </c>
      <c r="G310" s="9">
        <v>-0.54181192639563736</v>
      </c>
      <c r="H310" s="8" t="s">
        <v>10</v>
      </c>
      <c r="I310" s="2" t="s">
        <v>10</v>
      </c>
      <c r="J310" s="2" t="s">
        <v>10</v>
      </c>
      <c r="K310" s="2" t="s">
        <v>10</v>
      </c>
      <c r="L310" s="2" t="s">
        <v>10</v>
      </c>
      <c r="M310" s="2" t="s">
        <v>10</v>
      </c>
      <c r="N310" s="2" t="s">
        <v>10</v>
      </c>
      <c r="O310" s="2" t="s">
        <v>10</v>
      </c>
    </row>
    <row r="311" spans="1:15" x14ac:dyDescent="0.3">
      <c r="A311" s="2" t="s">
        <v>50</v>
      </c>
      <c r="B311" s="2" t="s">
        <v>14</v>
      </c>
      <c r="C311" s="2" t="s">
        <v>4</v>
      </c>
      <c r="D311" s="7">
        <v>44277</v>
      </c>
      <c r="E311" s="2">
        <v>0</v>
      </c>
      <c r="F311" s="2">
        <v>53.469333333333338</v>
      </c>
      <c r="G311" s="9">
        <v>-8.8474390304722927E-2</v>
      </c>
      <c r="H311" s="8" t="s">
        <v>10</v>
      </c>
      <c r="I311" s="2" t="s">
        <v>10</v>
      </c>
      <c r="J311" s="2" t="s">
        <v>10</v>
      </c>
      <c r="K311" s="2" t="s">
        <v>10</v>
      </c>
      <c r="L311" s="2" t="s">
        <v>10</v>
      </c>
      <c r="M311" s="2" t="s">
        <v>10</v>
      </c>
      <c r="N311" s="2" t="s">
        <v>10</v>
      </c>
      <c r="O311" s="2" t="s">
        <v>10</v>
      </c>
    </row>
    <row r="312" spans="1:15" x14ac:dyDescent="0.3">
      <c r="A312" s="2" t="s">
        <v>50</v>
      </c>
      <c r="B312" s="2" t="s">
        <v>15</v>
      </c>
      <c r="C312" s="2" t="s">
        <v>5</v>
      </c>
      <c r="D312" s="7">
        <v>44277</v>
      </c>
      <c r="E312" s="2">
        <v>0</v>
      </c>
      <c r="F312" s="2">
        <v>57.800000000000004</v>
      </c>
      <c r="G312" s="9">
        <v>-2.7681660899653959E-2</v>
      </c>
      <c r="H312" s="8" t="s">
        <v>10</v>
      </c>
      <c r="I312" s="2" t="s">
        <v>10</v>
      </c>
      <c r="J312" s="2" t="s">
        <v>10</v>
      </c>
      <c r="K312" s="2" t="s">
        <v>10</v>
      </c>
      <c r="L312" s="2" t="s">
        <v>10</v>
      </c>
      <c r="M312" s="2" t="s">
        <v>10</v>
      </c>
      <c r="N312" s="2" t="s">
        <v>10</v>
      </c>
      <c r="O312" s="2" t="s">
        <v>10</v>
      </c>
    </row>
    <row r="313" spans="1:15" x14ac:dyDescent="0.3">
      <c r="A313" s="2" t="s">
        <v>50</v>
      </c>
      <c r="B313" s="2" t="s">
        <v>16</v>
      </c>
      <c r="C313" s="2" t="s">
        <v>4</v>
      </c>
      <c r="D313" s="7">
        <v>44277</v>
      </c>
      <c r="E313" s="2">
        <v>0</v>
      </c>
      <c r="F313" s="2">
        <v>53.185633333333342</v>
      </c>
      <c r="G313" s="9">
        <v>-0.2371762048523125</v>
      </c>
      <c r="H313" s="8" t="s">
        <v>10</v>
      </c>
      <c r="I313" s="2" t="s">
        <v>10</v>
      </c>
      <c r="J313" s="2" t="s">
        <v>10</v>
      </c>
      <c r="K313" s="2" t="s">
        <v>10</v>
      </c>
      <c r="L313" s="2" t="s">
        <v>10</v>
      </c>
      <c r="M313" s="2" t="s">
        <v>10</v>
      </c>
      <c r="N313" s="2" t="s">
        <v>10</v>
      </c>
      <c r="O313" s="2" t="s">
        <v>10</v>
      </c>
    </row>
    <row r="314" spans="1:15" x14ac:dyDescent="0.3">
      <c r="A314" s="2" t="s">
        <v>50</v>
      </c>
      <c r="B314" s="2" t="s">
        <v>17</v>
      </c>
      <c r="C314" s="2" t="s">
        <v>5</v>
      </c>
      <c r="D314" s="7">
        <v>44277</v>
      </c>
      <c r="E314" s="2">
        <v>0</v>
      </c>
      <c r="F314" s="2">
        <v>60.366666666666667</v>
      </c>
      <c r="G314" s="9">
        <v>-7.1783545002759297E-3</v>
      </c>
      <c r="H314" s="8" t="s">
        <v>10</v>
      </c>
      <c r="I314" s="2" t="s">
        <v>10</v>
      </c>
      <c r="J314" s="2" t="s">
        <v>10</v>
      </c>
      <c r="K314" s="2" t="s">
        <v>10</v>
      </c>
      <c r="L314" s="2" t="s">
        <v>10</v>
      </c>
      <c r="M314" s="2" t="s">
        <v>10</v>
      </c>
      <c r="N314" s="2" t="s">
        <v>10</v>
      </c>
      <c r="O314" s="2" t="s">
        <v>10</v>
      </c>
    </row>
    <row r="315" spans="1:15" x14ac:dyDescent="0.3">
      <c r="A315" s="2" t="s">
        <v>50</v>
      </c>
      <c r="B315" s="2" t="s">
        <v>18</v>
      </c>
      <c r="C315" s="2" t="s">
        <v>4</v>
      </c>
      <c r="D315" s="7">
        <v>44277</v>
      </c>
      <c r="E315" s="2">
        <v>1</v>
      </c>
      <c r="F315" s="2" t="s">
        <v>10</v>
      </c>
      <c r="G315" s="9" t="s">
        <v>10</v>
      </c>
      <c r="H315" s="8" t="s">
        <v>10</v>
      </c>
      <c r="I315" s="2" t="s">
        <v>10</v>
      </c>
      <c r="J315" s="2" t="s">
        <v>10</v>
      </c>
      <c r="K315" s="2" t="s">
        <v>10</v>
      </c>
      <c r="L315" s="2" t="s">
        <v>10</v>
      </c>
      <c r="M315" s="2" t="s">
        <v>10</v>
      </c>
      <c r="N315" s="2" t="s">
        <v>10</v>
      </c>
      <c r="O315" s="2" t="s">
        <v>10</v>
      </c>
    </row>
    <row r="316" spans="1:15" x14ac:dyDescent="0.3">
      <c r="A316" s="2" t="s">
        <v>50</v>
      </c>
      <c r="B316" s="2" t="s">
        <v>19</v>
      </c>
      <c r="C316" s="2" t="s">
        <v>5</v>
      </c>
      <c r="D316" s="7">
        <v>44277</v>
      </c>
      <c r="E316" s="2">
        <v>0</v>
      </c>
      <c r="F316" s="2">
        <v>53.8</v>
      </c>
      <c r="G316" s="9">
        <v>-5.9479553903345694E-2</v>
      </c>
      <c r="H316" s="8" t="s">
        <v>10</v>
      </c>
      <c r="I316" s="2" t="s">
        <v>10</v>
      </c>
      <c r="J316" s="2" t="s">
        <v>10</v>
      </c>
      <c r="K316" s="2" t="s">
        <v>10</v>
      </c>
      <c r="L316" s="2" t="s">
        <v>10</v>
      </c>
      <c r="M316" s="2" t="s">
        <v>10</v>
      </c>
      <c r="N316" s="2" t="s">
        <v>10</v>
      </c>
      <c r="O316" s="2" t="s">
        <v>10</v>
      </c>
    </row>
    <row r="317" spans="1:15" x14ac:dyDescent="0.3">
      <c r="A317" s="2" t="s">
        <v>51</v>
      </c>
      <c r="B317" s="2" t="s">
        <v>20</v>
      </c>
      <c r="C317" s="2" t="s">
        <v>4</v>
      </c>
      <c r="D317" s="7">
        <v>44277</v>
      </c>
      <c r="E317" s="2">
        <v>0</v>
      </c>
      <c r="F317" s="2">
        <v>52.266900000000007</v>
      </c>
      <c r="G317" s="9">
        <v>-0.14030103181937315</v>
      </c>
      <c r="H317" s="8" t="s">
        <v>10</v>
      </c>
      <c r="I317" s="2" t="s">
        <v>10</v>
      </c>
      <c r="J317" s="2" t="s">
        <v>10</v>
      </c>
      <c r="K317" s="2" t="s">
        <v>10</v>
      </c>
      <c r="L317" s="2" t="s">
        <v>10</v>
      </c>
      <c r="M317" s="2" t="s">
        <v>10</v>
      </c>
      <c r="N317" s="2" t="s">
        <v>10</v>
      </c>
      <c r="O317" s="2" t="s">
        <v>10</v>
      </c>
    </row>
    <row r="318" spans="1:15" x14ac:dyDescent="0.3">
      <c r="A318" s="2" t="s">
        <v>51</v>
      </c>
      <c r="B318" s="2" t="s">
        <v>21</v>
      </c>
      <c r="C318" s="2" t="s">
        <v>4</v>
      </c>
      <c r="D318" s="7">
        <v>44277</v>
      </c>
      <c r="E318" s="2">
        <v>0</v>
      </c>
      <c r="F318" s="2">
        <v>49.426899999999996</v>
      </c>
      <c r="G318" s="9">
        <v>-0.17345008487281222</v>
      </c>
      <c r="H318" s="8" t="s">
        <v>10</v>
      </c>
      <c r="I318" s="2" t="s">
        <v>10</v>
      </c>
      <c r="J318" s="2" t="s">
        <v>10</v>
      </c>
      <c r="K318" s="2" t="s">
        <v>10</v>
      </c>
      <c r="L318" s="2" t="s">
        <v>10</v>
      </c>
      <c r="M318" s="2" t="s">
        <v>10</v>
      </c>
      <c r="N318" s="2" t="s">
        <v>10</v>
      </c>
      <c r="O318" s="2" t="s">
        <v>10</v>
      </c>
    </row>
    <row r="319" spans="1:15" x14ac:dyDescent="0.3">
      <c r="A319" s="2" t="s">
        <v>51</v>
      </c>
      <c r="B319" s="2" t="s">
        <v>22</v>
      </c>
      <c r="C319" s="2" t="s">
        <v>5</v>
      </c>
      <c r="D319" s="7">
        <v>44277</v>
      </c>
      <c r="E319" s="2">
        <v>0</v>
      </c>
      <c r="F319" s="2">
        <v>60.233333333333334</v>
      </c>
      <c r="G319" s="9">
        <v>-0.13558384061981199</v>
      </c>
      <c r="H319" s="8" t="s">
        <v>10</v>
      </c>
      <c r="I319" s="2" t="s">
        <v>10</v>
      </c>
      <c r="J319" s="2" t="s">
        <v>10</v>
      </c>
      <c r="K319" s="2" t="s">
        <v>10</v>
      </c>
      <c r="L319" s="2" t="s">
        <v>10</v>
      </c>
      <c r="M319" s="2" t="s">
        <v>10</v>
      </c>
      <c r="N319" s="2" t="s">
        <v>10</v>
      </c>
      <c r="O319" s="2" t="s">
        <v>10</v>
      </c>
    </row>
    <row r="320" spans="1:15" x14ac:dyDescent="0.3">
      <c r="A320" s="2" t="s">
        <v>51</v>
      </c>
      <c r="B320" s="2" t="s">
        <v>23</v>
      </c>
      <c r="C320" s="2" t="s">
        <v>4</v>
      </c>
      <c r="D320" s="7">
        <v>44277</v>
      </c>
      <c r="E320" s="2">
        <v>0</v>
      </c>
      <c r="F320" s="2">
        <v>42.329866666666668</v>
      </c>
      <c r="G320" s="9">
        <v>-0.11505194126133178</v>
      </c>
      <c r="H320" s="8" t="s">
        <v>10</v>
      </c>
      <c r="I320" s="2" t="s">
        <v>10</v>
      </c>
      <c r="J320" s="2" t="s">
        <v>10</v>
      </c>
      <c r="K320" s="2" t="s">
        <v>10</v>
      </c>
      <c r="L320" s="2" t="s">
        <v>10</v>
      </c>
      <c r="M320" s="2" t="s">
        <v>10</v>
      </c>
      <c r="N320" s="2" t="s">
        <v>10</v>
      </c>
      <c r="O320" s="2" t="s">
        <v>10</v>
      </c>
    </row>
    <row r="321" spans="1:15" x14ac:dyDescent="0.3">
      <c r="A321" s="2" t="s">
        <v>51</v>
      </c>
      <c r="B321" s="2" t="s">
        <v>24</v>
      </c>
      <c r="C321" s="2" t="s">
        <v>5</v>
      </c>
      <c r="D321" s="7">
        <v>44277</v>
      </c>
      <c r="E321" s="2">
        <v>0</v>
      </c>
      <c r="F321" s="2">
        <v>70</v>
      </c>
      <c r="G321" s="9">
        <v>-0.14857142857142858</v>
      </c>
      <c r="H321" s="8" t="s">
        <v>10</v>
      </c>
      <c r="I321" s="2" t="s">
        <v>10</v>
      </c>
      <c r="J321" s="2" t="s">
        <v>10</v>
      </c>
      <c r="K321" s="2" t="s">
        <v>10</v>
      </c>
      <c r="L321" s="2" t="s">
        <v>10</v>
      </c>
      <c r="M321" s="2" t="s">
        <v>10</v>
      </c>
      <c r="N321" s="2" t="s">
        <v>10</v>
      </c>
      <c r="O321" s="2" t="s">
        <v>10</v>
      </c>
    </row>
    <row r="322" spans="1:15" x14ac:dyDescent="0.3">
      <c r="A322" s="2" t="s">
        <v>51</v>
      </c>
      <c r="B322" s="2" t="s">
        <v>25</v>
      </c>
      <c r="C322" s="2" t="s">
        <v>4</v>
      </c>
      <c r="D322" s="7">
        <v>44277</v>
      </c>
      <c r="E322" s="2">
        <v>0</v>
      </c>
      <c r="F322" s="2">
        <v>56.616799999999998</v>
      </c>
      <c r="G322" s="9">
        <v>-0.16219920588941794</v>
      </c>
      <c r="H322" s="8" t="s">
        <v>10</v>
      </c>
      <c r="I322" s="2" t="s">
        <v>10</v>
      </c>
      <c r="J322" s="2" t="s">
        <v>10</v>
      </c>
      <c r="K322" s="2" t="s">
        <v>10</v>
      </c>
      <c r="L322" s="2" t="s">
        <v>10</v>
      </c>
      <c r="M322" s="2" t="s">
        <v>10</v>
      </c>
      <c r="N322" s="2" t="s">
        <v>10</v>
      </c>
      <c r="O322" s="2" t="s">
        <v>10</v>
      </c>
    </row>
    <row r="323" spans="1:15" x14ac:dyDescent="0.3">
      <c r="A323" s="2" t="s">
        <v>52</v>
      </c>
      <c r="B323" s="2" t="s">
        <v>26</v>
      </c>
      <c r="C323" s="2" t="s">
        <v>4</v>
      </c>
      <c r="D323" s="7">
        <v>44277</v>
      </c>
      <c r="E323" s="2">
        <v>0</v>
      </c>
      <c r="F323" s="2">
        <v>43.310566666666666</v>
      </c>
      <c r="G323" s="9">
        <v>-0.15907049626842418</v>
      </c>
      <c r="H323" s="8" t="s">
        <v>10</v>
      </c>
      <c r="I323" s="2" t="s">
        <v>10</v>
      </c>
      <c r="J323" s="2" t="s">
        <v>10</v>
      </c>
      <c r="K323" s="2" t="s">
        <v>10</v>
      </c>
      <c r="L323" s="2" t="s">
        <v>10</v>
      </c>
      <c r="M323" s="2" t="s">
        <v>10</v>
      </c>
      <c r="N323" s="2" t="s">
        <v>10</v>
      </c>
      <c r="O323" s="2" t="s">
        <v>10</v>
      </c>
    </row>
    <row r="324" spans="1:15" x14ac:dyDescent="0.3">
      <c r="A324" s="2" t="s">
        <v>52</v>
      </c>
      <c r="B324" s="2" t="s">
        <v>27</v>
      </c>
      <c r="C324" s="2" t="s">
        <v>5</v>
      </c>
      <c r="D324" s="7">
        <v>44277</v>
      </c>
      <c r="E324" s="2">
        <v>0</v>
      </c>
      <c r="F324" s="2">
        <v>62.7</v>
      </c>
      <c r="G324" s="9">
        <v>0.13237639553429026</v>
      </c>
      <c r="H324" s="8" t="s">
        <v>10</v>
      </c>
      <c r="I324" s="2" t="s">
        <v>10</v>
      </c>
      <c r="J324" s="2" t="s">
        <v>10</v>
      </c>
      <c r="K324" s="2" t="s">
        <v>10</v>
      </c>
      <c r="L324" s="2" t="s">
        <v>10</v>
      </c>
      <c r="M324" s="2" t="s">
        <v>10</v>
      </c>
      <c r="N324" s="2" t="s">
        <v>10</v>
      </c>
      <c r="O324" s="2" t="s">
        <v>10</v>
      </c>
    </row>
    <row r="325" spans="1:15" x14ac:dyDescent="0.3">
      <c r="A325" s="2" t="s">
        <v>52</v>
      </c>
      <c r="B325" s="2" t="s">
        <v>28</v>
      </c>
      <c r="C325" s="2" t="s">
        <v>5</v>
      </c>
      <c r="D325" s="7">
        <v>44277</v>
      </c>
      <c r="E325" s="2">
        <v>0</v>
      </c>
      <c r="F325" s="2">
        <v>61.6</v>
      </c>
      <c r="G325" s="9">
        <v>-0.25324675324675328</v>
      </c>
      <c r="H325" s="8" t="s">
        <v>10</v>
      </c>
      <c r="I325" s="2" t="s">
        <v>10</v>
      </c>
      <c r="J325" s="2" t="s">
        <v>10</v>
      </c>
      <c r="K325" s="2" t="s">
        <v>10</v>
      </c>
      <c r="L325" s="2" t="s">
        <v>10</v>
      </c>
      <c r="M325" s="2" t="s">
        <v>10</v>
      </c>
      <c r="N325" s="2" t="s">
        <v>10</v>
      </c>
      <c r="O325" s="2" t="s">
        <v>10</v>
      </c>
    </row>
    <row r="326" spans="1:15" x14ac:dyDescent="0.3">
      <c r="A326" s="2" t="s">
        <v>53</v>
      </c>
      <c r="B326" s="2" t="s">
        <v>29</v>
      </c>
      <c r="C326" s="2" t="s">
        <v>4</v>
      </c>
      <c r="D326" s="7">
        <v>44277</v>
      </c>
      <c r="E326" s="2">
        <v>0</v>
      </c>
      <c r="F326" s="2">
        <v>44.783933333333337</v>
      </c>
      <c r="G326" s="9">
        <v>-0.25938022415777096</v>
      </c>
      <c r="H326" s="8" t="s">
        <v>10</v>
      </c>
      <c r="I326" s="2" t="s">
        <v>10</v>
      </c>
      <c r="J326" s="2" t="s">
        <v>10</v>
      </c>
      <c r="K326" s="2" t="s">
        <v>10</v>
      </c>
      <c r="L326" s="2" t="s">
        <v>10</v>
      </c>
      <c r="M326" s="2" t="s">
        <v>10</v>
      </c>
      <c r="N326" s="2" t="s">
        <v>10</v>
      </c>
      <c r="O326" s="2" t="s">
        <v>10</v>
      </c>
    </row>
    <row r="327" spans="1:15" x14ac:dyDescent="0.3">
      <c r="A327" s="2" t="s">
        <v>53</v>
      </c>
      <c r="B327" s="2" t="s">
        <v>30</v>
      </c>
      <c r="C327" s="2" t="s">
        <v>5</v>
      </c>
      <c r="D327" s="7">
        <v>44277</v>
      </c>
      <c r="E327" s="2">
        <v>0</v>
      </c>
      <c r="F327" s="2">
        <v>55.06666666666667</v>
      </c>
      <c r="G327" s="9">
        <v>-6.4164648910411515E-2</v>
      </c>
      <c r="H327" s="8" t="s">
        <v>10</v>
      </c>
      <c r="I327" s="2" t="s">
        <v>10</v>
      </c>
      <c r="J327" s="2" t="s">
        <v>10</v>
      </c>
      <c r="K327" s="2" t="s">
        <v>10</v>
      </c>
      <c r="L327" s="2" t="s">
        <v>10</v>
      </c>
      <c r="M327" s="2" t="s">
        <v>10</v>
      </c>
      <c r="N327" s="2" t="s">
        <v>10</v>
      </c>
      <c r="O327" s="2" t="s">
        <v>10</v>
      </c>
    </row>
    <row r="328" spans="1:15" x14ac:dyDescent="0.3">
      <c r="A328" s="2" t="s">
        <v>53</v>
      </c>
      <c r="B328" s="2" t="s">
        <v>31</v>
      </c>
      <c r="C328" s="2" t="s">
        <v>4</v>
      </c>
      <c r="D328" s="7">
        <v>44277</v>
      </c>
      <c r="E328" s="2">
        <v>0</v>
      </c>
      <c r="F328" s="2">
        <v>37.542000000000002</v>
      </c>
      <c r="G328" s="9">
        <v>-0.31053220393159653</v>
      </c>
      <c r="H328" s="8" t="s">
        <v>10</v>
      </c>
      <c r="I328" s="2" t="s">
        <v>10</v>
      </c>
      <c r="J328" s="2" t="s">
        <v>10</v>
      </c>
      <c r="K328" s="2" t="s">
        <v>10</v>
      </c>
      <c r="L328" s="2" t="s">
        <v>10</v>
      </c>
      <c r="M328" s="2" t="s">
        <v>10</v>
      </c>
      <c r="N328" s="2" t="s">
        <v>10</v>
      </c>
      <c r="O328" s="2" t="s">
        <v>10</v>
      </c>
    </row>
    <row r="329" spans="1:15" x14ac:dyDescent="0.3">
      <c r="A329" s="2" t="s">
        <v>53</v>
      </c>
      <c r="B329" s="2" t="s">
        <v>32</v>
      </c>
      <c r="C329" s="2" t="s">
        <v>5</v>
      </c>
      <c r="D329" s="7">
        <v>44277</v>
      </c>
      <c r="E329" s="2">
        <v>0</v>
      </c>
      <c r="F329" s="2">
        <v>55.300000000000004</v>
      </c>
      <c r="G329" s="9">
        <v>-0.17179023508137425</v>
      </c>
      <c r="H329" s="8" t="s">
        <v>10</v>
      </c>
      <c r="I329" s="2" t="s">
        <v>10</v>
      </c>
      <c r="J329" s="2" t="s">
        <v>10</v>
      </c>
      <c r="K329" s="2" t="s">
        <v>10</v>
      </c>
      <c r="L329" s="2" t="s">
        <v>10</v>
      </c>
      <c r="M329" s="2" t="s">
        <v>10</v>
      </c>
      <c r="N329" s="2" t="s">
        <v>10</v>
      </c>
      <c r="O329" s="2" t="s">
        <v>10</v>
      </c>
    </row>
    <row r="330" spans="1:15" x14ac:dyDescent="0.3">
      <c r="A330" s="2" t="s">
        <v>53</v>
      </c>
      <c r="B330" s="2" t="s">
        <v>33</v>
      </c>
      <c r="C330" s="2" t="s">
        <v>4</v>
      </c>
      <c r="D330" s="7">
        <v>44277</v>
      </c>
      <c r="E330" s="2">
        <v>1</v>
      </c>
      <c r="F330" s="2" t="s">
        <v>10</v>
      </c>
      <c r="G330" s="9" t="s">
        <v>10</v>
      </c>
      <c r="H330" s="8" t="s">
        <v>10</v>
      </c>
      <c r="I330" s="2" t="s">
        <v>10</v>
      </c>
      <c r="J330" s="2" t="s">
        <v>10</v>
      </c>
      <c r="K330" s="2" t="s">
        <v>10</v>
      </c>
      <c r="L330" s="2" t="s">
        <v>10</v>
      </c>
      <c r="M330" s="2" t="s">
        <v>10</v>
      </c>
      <c r="N330" s="2" t="s">
        <v>10</v>
      </c>
      <c r="O330" s="2" t="s">
        <v>10</v>
      </c>
    </row>
    <row r="331" spans="1:15" x14ac:dyDescent="0.3">
      <c r="A331" s="2" t="s">
        <v>53</v>
      </c>
      <c r="B331" s="2" t="s">
        <v>34</v>
      </c>
      <c r="C331" s="2" t="s">
        <v>5</v>
      </c>
      <c r="D331" s="7">
        <v>44277</v>
      </c>
      <c r="E331" s="2">
        <v>0</v>
      </c>
      <c r="F331" s="2">
        <v>44.166666666666664</v>
      </c>
      <c r="G331" s="9">
        <v>-0.19999999999999996</v>
      </c>
      <c r="H331" s="8" t="s">
        <v>10</v>
      </c>
      <c r="I331" s="2" t="s">
        <v>10</v>
      </c>
      <c r="J331" s="2" t="s">
        <v>10</v>
      </c>
      <c r="K331" s="2" t="s">
        <v>10</v>
      </c>
      <c r="L331" s="2" t="s">
        <v>10</v>
      </c>
      <c r="M331" s="2" t="s">
        <v>10</v>
      </c>
      <c r="N331" s="2" t="s">
        <v>10</v>
      </c>
      <c r="O331" s="2" t="s">
        <v>10</v>
      </c>
    </row>
    <row r="332" spans="1:15" x14ac:dyDescent="0.3">
      <c r="A332" s="2" t="s">
        <v>53</v>
      </c>
      <c r="B332" s="2" t="s">
        <v>35</v>
      </c>
      <c r="C332" s="2" t="s">
        <v>5</v>
      </c>
      <c r="D332" s="7">
        <v>44277</v>
      </c>
      <c r="E332" s="2">
        <v>0</v>
      </c>
      <c r="F332" s="2">
        <v>44.733333333333341</v>
      </c>
      <c r="G332" s="9">
        <v>-0.17138599105812191</v>
      </c>
      <c r="H332" s="8" t="s">
        <v>10</v>
      </c>
      <c r="I332" s="2" t="s">
        <v>10</v>
      </c>
      <c r="J332" s="2" t="s">
        <v>10</v>
      </c>
      <c r="K332" s="2" t="s">
        <v>10</v>
      </c>
      <c r="L332" s="2" t="s">
        <v>10</v>
      </c>
      <c r="M332" s="2" t="s">
        <v>10</v>
      </c>
      <c r="N332" s="2" t="s">
        <v>10</v>
      </c>
      <c r="O332" s="2" t="s">
        <v>10</v>
      </c>
    </row>
    <row r="333" spans="1:15" x14ac:dyDescent="0.3">
      <c r="A333" s="2" t="s">
        <v>53</v>
      </c>
      <c r="B333" s="2" t="s">
        <v>36</v>
      </c>
      <c r="C333" s="2" t="s">
        <v>4</v>
      </c>
      <c r="D333" s="7">
        <v>44277</v>
      </c>
      <c r="E333" s="2">
        <v>0</v>
      </c>
      <c r="F333" s="2">
        <v>49.629533333333335</v>
      </c>
      <c r="G333" s="9">
        <v>-0.22104714531535641</v>
      </c>
      <c r="H333" s="8" t="s">
        <v>10</v>
      </c>
      <c r="I333" s="2" t="s">
        <v>10</v>
      </c>
      <c r="J333" s="2" t="s">
        <v>10</v>
      </c>
      <c r="K333" s="2" t="s">
        <v>10</v>
      </c>
      <c r="L333" s="2" t="s">
        <v>10</v>
      </c>
      <c r="M333" s="2" t="s">
        <v>10</v>
      </c>
      <c r="N333" s="2" t="s">
        <v>10</v>
      </c>
      <c r="O333" s="2" t="s">
        <v>10</v>
      </c>
    </row>
    <row r="334" spans="1:15" x14ac:dyDescent="0.3">
      <c r="A334" s="2" t="s">
        <v>54</v>
      </c>
      <c r="B334" s="2" t="s">
        <v>37</v>
      </c>
      <c r="C334" s="2" t="s">
        <v>5</v>
      </c>
      <c r="D334" s="7">
        <v>44277</v>
      </c>
      <c r="E334" s="2">
        <v>0</v>
      </c>
      <c r="F334" s="2">
        <v>71.033333333333331</v>
      </c>
      <c r="G334" s="9">
        <v>-0.23322383857343976</v>
      </c>
      <c r="H334" s="8" t="s">
        <v>10</v>
      </c>
      <c r="I334" s="2" t="s">
        <v>10</v>
      </c>
      <c r="J334" s="2" t="s">
        <v>10</v>
      </c>
      <c r="K334" s="2" t="s">
        <v>10</v>
      </c>
      <c r="L334" s="2" t="s">
        <v>10</v>
      </c>
      <c r="M334" s="2" t="s">
        <v>10</v>
      </c>
      <c r="N334" s="2" t="s">
        <v>10</v>
      </c>
      <c r="O334" s="2" t="s">
        <v>10</v>
      </c>
    </row>
    <row r="335" spans="1:15" x14ac:dyDescent="0.3">
      <c r="A335" s="2" t="s">
        <v>54</v>
      </c>
      <c r="B335" s="2" t="s">
        <v>38</v>
      </c>
      <c r="C335" s="2" t="s">
        <v>4</v>
      </c>
      <c r="D335" s="7">
        <v>44277</v>
      </c>
      <c r="E335" s="2">
        <v>0</v>
      </c>
      <c r="F335" s="2">
        <v>64.617799999999988</v>
      </c>
      <c r="G335" s="9">
        <v>-0.19781236749007269</v>
      </c>
      <c r="H335" s="8" t="s">
        <v>10</v>
      </c>
      <c r="I335" s="2" t="s">
        <v>10</v>
      </c>
      <c r="J335" s="2" t="s">
        <v>10</v>
      </c>
      <c r="K335" s="2" t="s">
        <v>10</v>
      </c>
      <c r="L335" s="2" t="s">
        <v>10</v>
      </c>
      <c r="M335" s="2" t="s">
        <v>10</v>
      </c>
      <c r="N335" s="2" t="s">
        <v>10</v>
      </c>
      <c r="O335" s="2" t="s">
        <v>10</v>
      </c>
    </row>
    <row r="336" spans="1:15" x14ac:dyDescent="0.3">
      <c r="A336" s="2" t="s">
        <v>54</v>
      </c>
      <c r="B336" s="2" t="s">
        <v>39</v>
      </c>
      <c r="C336" s="2" t="s">
        <v>5</v>
      </c>
      <c r="D336" s="7">
        <v>44277</v>
      </c>
      <c r="E336" s="2">
        <v>0</v>
      </c>
      <c r="F336" s="2">
        <v>66</v>
      </c>
      <c r="G336" s="9">
        <v>-4.2424242424242475E-2</v>
      </c>
      <c r="H336" s="8" t="s">
        <v>10</v>
      </c>
      <c r="I336" s="2" t="s">
        <v>10</v>
      </c>
      <c r="J336" s="2" t="s">
        <v>10</v>
      </c>
      <c r="K336" s="2" t="s">
        <v>10</v>
      </c>
      <c r="L336" s="2" t="s">
        <v>10</v>
      </c>
      <c r="M336" s="2" t="s">
        <v>10</v>
      </c>
      <c r="N336" s="2" t="s">
        <v>10</v>
      </c>
      <c r="O336" s="2" t="s">
        <v>10</v>
      </c>
    </row>
    <row r="337" spans="1:15" x14ac:dyDescent="0.3">
      <c r="A337" s="2" t="s">
        <v>55</v>
      </c>
      <c r="B337" s="2" t="s">
        <v>40</v>
      </c>
      <c r="C337" s="2" t="s">
        <v>4</v>
      </c>
      <c r="D337" s="7">
        <v>44277</v>
      </c>
      <c r="E337" s="2">
        <v>0</v>
      </c>
      <c r="F337" s="2">
        <v>54.52643333333333</v>
      </c>
      <c r="G337" s="9">
        <v>-0.31679252814995573</v>
      </c>
      <c r="H337" s="8" t="s">
        <v>10</v>
      </c>
      <c r="I337" s="2" t="s">
        <v>10</v>
      </c>
      <c r="J337" s="2" t="s">
        <v>10</v>
      </c>
      <c r="K337" s="2" t="s">
        <v>10</v>
      </c>
      <c r="L337" s="2" t="s">
        <v>10</v>
      </c>
      <c r="M337" s="2" t="s">
        <v>10</v>
      </c>
      <c r="N337" s="2" t="s">
        <v>10</v>
      </c>
      <c r="O337" s="2" t="s">
        <v>10</v>
      </c>
    </row>
    <row r="338" spans="1:15" x14ac:dyDescent="0.3">
      <c r="A338" s="2" t="s">
        <v>55</v>
      </c>
      <c r="B338" s="2" t="s">
        <v>41</v>
      </c>
      <c r="C338" s="2" t="s">
        <v>5</v>
      </c>
      <c r="D338" s="7">
        <v>44277</v>
      </c>
      <c r="E338" s="2">
        <v>0</v>
      </c>
      <c r="F338" s="2">
        <v>50.266666666666673</v>
      </c>
      <c r="G338" s="9">
        <v>-0.24933687002652505</v>
      </c>
      <c r="H338" s="8" t="s">
        <v>10</v>
      </c>
      <c r="I338" s="2" t="s">
        <v>10</v>
      </c>
      <c r="J338" s="2" t="s">
        <v>10</v>
      </c>
      <c r="K338" s="2" t="s">
        <v>10</v>
      </c>
      <c r="L338" s="2" t="s">
        <v>10</v>
      </c>
      <c r="M338" s="2" t="s">
        <v>10</v>
      </c>
      <c r="N338" s="2" t="s">
        <v>10</v>
      </c>
      <c r="O338" s="2" t="s">
        <v>10</v>
      </c>
    </row>
    <row r="339" spans="1:15" x14ac:dyDescent="0.3">
      <c r="A339" s="2" t="s">
        <v>55</v>
      </c>
      <c r="B339" s="2" t="s">
        <v>42</v>
      </c>
      <c r="C339" s="2" t="s">
        <v>5</v>
      </c>
      <c r="D339" s="7">
        <v>44277</v>
      </c>
      <c r="E339" s="2">
        <v>0</v>
      </c>
      <c r="F339" s="2">
        <v>54.4</v>
      </c>
      <c r="G339" s="9">
        <v>-0.22794117647058831</v>
      </c>
      <c r="H339" s="8" t="s">
        <v>10</v>
      </c>
      <c r="I339" s="2" t="s">
        <v>10</v>
      </c>
      <c r="J339" s="2" t="s">
        <v>10</v>
      </c>
      <c r="K339" s="2" t="s">
        <v>10</v>
      </c>
      <c r="L339" s="2" t="s">
        <v>10</v>
      </c>
      <c r="M339" s="2" t="s">
        <v>10</v>
      </c>
      <c r="N339" s="2" t="s">
        <v>10</v>
      </c>
      <c r="O339" s="2" t="s">
        <v>10</v>
      </c>
    </row>
    <row r="340" spans="1:15" x14ac:dyDescent="0.3">
      <c r="A340" s="2" t="s">
        <v>55</v>
      </c>
      <c r="B340" s="2" t="s">
        <v>43</v>
      </c>
      <c r="C340" s="2" t="s">
        <v>4</v>
      </c>
      <c r="D340" s="7">
        <v>44277</v>
      </c>
      <c r="E340" s="2">
        <v>1</v>
      </c>
      <c r="F340" s="2" t="s">
        <v>10</v>
      </c>
      <c r="G340" s="9" t="s">
        <v>10</v>
      </c>
      <c r="H340" s="8" t="s">
        <v>10</v>
      </c>
      <c r="I340" s="2" t="s">
        <v>10</v>
      </c>
      <c r="J340" s="2" t="s">
        <v>10</v>
      </c>
      <c r="K340" s="2" t="s">
        <v>10</v>
      </c>
      <c r="L340" s="2" t="s">
        <v>10</v>
      </c>
      <c r="M340" s="2" t="s">
        <v>10</v>
      </c>
      <c r="N340" s="2" t="s">
        <v>10</v>
      </c>
      <c r="O340" s="2" t="s">
        <v>10</v>
      </c>
    </row>
    <row r="341" spans="1:15" x14ac:dyDescent="0.3">
      <c r="A341" s="2" t="s">
        <v>56</v>
      </c>
      <c r="B341" s="2" t="s">
        <v>44</v>
      </c>
      <c r="C341" s="2" t="s">
        <v>5</v>
      </c>
      <c r="D341" s="7">
        <v>44277</v>
      </c>
      <c r="E341" s="2">
        <v>0</v>
      </c>
      <c r="F341" s="2">
        <v>59.45</v>
      </c>
      <c r="G341" s="9">
        <v>-0.19764507989907454</v>
      </c>
      <c r="H341" s="8" t="s">
        <v>10</v>
      </c>
      <c r="I341" s="2" t="s">
        <v>10</v>
      </c>
      <c r="J341" s="2" t="s">
        <v>10</v>
      </c>
      <c r="K341" s="2" t="s">
        <v>10</v>
      </c>
      <c r="L341" s="2" t="s">
        <v>10</v>
      </c>
      <c r="M341" s="2" t="s">
        <v>10</v>
      </c>
      <c r="N341" s="2" t="s">
        <v>10</v>
      </c>
      <c r="O341" s="2" t="s">
        <v>10</v>
      </c>
    </row>
    <row r="342" spans="1:15" x14ac:dyDescent="0.3">
      <c r="A342" s="2" t="s">
        <v>56</v>
      </c>
      <c r="B342" s="2" t="s">
        <v>45</v>
      </c>
      <c r="C342" s="2" t="s">
        <v>4</v>
      </c>
      <c r="D342" s="7">
        <v>44277</v>
      </c>
      <c r="E342" s="2">
        <v>0</v>
      </c>
      <c r="F342" s="2">
        <v>56.365600000000001</v>
      </c>
      <c r="G342" s="9">
        <v>-0.55768766765544941</v>
      </c>
      <c r="H342" s="8" t="s">
        <v>10</v>
      </c>
      <c r="I342" s="2" t="s">
        <v>10</v>
      </c>
      <c r="J342" s="2" t="s">
        <v>10</v>
      </c>
      <c r="K342" s="2" t="s">
        <v>10</v>
      </c>
      <c r="L342" s="2" t="s">
        <v>10</v>
      </c>
      <c r="M342" s="2" t="s">
        <v>10</v>
      </c>
      <c r="N342" s="2" t="s">
        <v>10</v>
      </c>
      <c r="O342" s="2" t="s">
        <v>10</v>
      </c>
    </row>
    <row r="343" spans="1:15" x14ac:dyDescent="0.3">
      <c r="A343" s="2" t="s">
        <v>56</v>
      </c>
      <c r="B343" s="2" t="s">
        <v>46</v>
      </c>
      <c r="C343" s="2" t="s">
        <v>4</v>
      </c>
      <c r="D343" s="7">
        <v>44277</v>
      </c>
      <c r="E343" s="2">
        <v>0</v>
      </c>
      <c r="F343" s="2">
        <v>41.5002</v>
      </c>
      <c r="G343" s="9">
        <v>-0.42649914940168965</v>
      </c>
      <c r="H343" s="8" t="s">
        <v>10</v>
      </c>
      <c r="I343" s="2" t="s">
        <v>10</v>
      </c>
      <c r="J343" s="2" t="s">
        <v>10</v>
      </c>
      <c r="K343" s="2" t="s">
        <v>10</v>
      </c>
      <c r="L343" s="2" t="s">
        <v>10</v>
      </c>
      <c r="M343" s="2" t="s">
        <v>10</v>
      </c>
      <c r="N343" s="2" t="s">
        <v>10</v>
      </c>
      <c r="O343" s="2" t="s">
        <v>10</v>
      </c>
    </row>
    <row r="344" spans="1:15" x14ac:dyDescent="0.3">
      <c r="A344" s="2" t="s">
        <v>56</v>
      </c>
      <c r="B344" s="2" t="s">
        <v>47</v>
      </c>
      <c r="C344" s="2" t="s">
        <v>5</v>
      </c>
      <c r="D344" s="7">
        <v>44277</v>
      </c>
      <c r="E344" s="2">
        <v>0</v>
      </c>
      <c r="F344" s="2">
        <v>48.2</v>
      </c>
      <c r="G344" s="9">
        <v>-0.1908713692946058</v>
      </c>
      <c r="H344" s="8" t="s">
        <v>10</v>
      </c>
      <c r="I344" s="2" t="s">
        <v>10</v>
      </c>
      <c r="J344" s="2" t="s">
        <v>10</v>
      </c>
      <c r="K344" s="2" t="s">
        <v>10</v>
      </c>
      <c r="L344" s="2" t="s">
        <v>10</v>
      </c>
      <c r="M344" s="2" t="s">
        <v>10</v>
      </c>
      <c r="N344" s="2" t="s">
        <v>10</v>
      </c>
      <c r="O344" s="2" t="s">
        <v>10</v>
      </c>
    </row>
    <row r="345" spans="1:15" x14ac:dyDescent="0.3">
      <c r="A345" s="2" t="s">
        <v>56</v>
      </c>
      <c r="B345" s="2" t="s">
        <v>48</v>
      </c>
      <c r="C345" s="2" t="s">
        <v>4</v>
      </c>
      <c r="D345" s="7">
        <v>44277</v>
      </c>
      <c r="E345" s="2">
        <v>0</v>
      </c>
      <c r="F345" s="2">
        <v>41.490800000000007</v>
      </c>
      <c r="G345" s="9">
        <v>-0.45092406027360266</v>
      </c>
      <c r="H345" s="8" t="s">
        <v>10</v>
      </c>
      <c r="I345" s="2" t="s">
        <v>10</v>
      </c>
      <c r="J345" s="2" t="s">
        <v>10</v>
      </c>
      <c r="K345" s="2" t="s">
        <v>10</v>
      </c>
      <c r="L345" s="2" t="s">
        <v>10</v>
      </c>
      <c r="M345" s="2" t="s">
        <v>10</v>
      </c>
      <c r="N345" s="2" t="s">
        <v>10</v>
      </c>
      <c r="O345" s="2" t="s">
        <v>10</v>
      </c>
    </row>
    <row r="346" spans="1:15" x14ac:dyDescent="0.3">
      <c r="A346" s="2" t="s">
        <v>49</v>
      </c>
      <c r="B346" s="2" t="s">
        <v>3</v>
      </c>
      <c r="C346" s="2" t="s">
        <v>4</v>
      </c>
      <c r="D346" s="7">
        <v>44285</v>
      </c>
      <c r="E346" s="2">
        <v>0</v>
      </c>
      <c r="F346" s="2">
        <v>64.091566666666665</v>
      </c>
      <c r="G346" s="9">
        <v>1.3910826541401411E-2</v>
      </c>
      <c r="H346" s="8" t="s">
        <v>10</v>
      </c>
      <c r="I346" s="2" t="s">
        <v>10</v>
      </c>
      <c r="J346" s="2" t="s">
        <v>10</v>
      </c>
      <c r="K346" s="2" t="s">
        <v>10</v>
      </c>
      <c r="L346" s="2" t="s">
        <v>10</v>
      </c>
      <c r="M346" s="10">
        <f>0.25+0.5+0.5+0.25+0.75+0.5+0.25+0.25+0.25+3+1+1+0.75+0.25+0.25+0.25</f>
        <v>10</v>
      </c>
      <c r="N346" s="2" t="s">
        <v>111</v>
      </c>
    </row>
    <row r="347" spans="1:15" x14ac:dyDescent="0.3">
      <c r="A347" s="2" t="s">
        <v>49</v>
      </c>
      <c r="B347" s="2" t="s">
        <v>6</v>
      </c>
      <c r="C347" s="2" t="s">
        <v>5</v>
      </c>
      <c r="D347" s="7">
        <v>44285</v>
      </c>
      <c r="E347" s="2">
        <v>0</v>
      </c>
      <c r="F347" s="2">
        <v>56.333333333333336</v>
      </c>
      <c r="G347" s="9">
        <v>-2.9585798816567976E-2</v>
      </c>
      <c r="H347" s="8" t="s">
        <v>10</v>
      </c>
      <c r="I347" s="2" t="s">
        <v>10</v>
      </c>
      <c r="J347" s="2" t="s">
        <v>10</v>
      </c>
      <c r="K347" s="2" t="s">
        <v>10</v>
      </c>
      <c r="L347" s="2" t="s">
        <v>10</v>
      </c>
      <c r="M347" s="10">
        <f>0.25+0.25+0.25+0.25+0.5+0.75+1+1.5+1+0.5+0.25+0.25+0.75+0.5+0.25+0.5+0.5+0.5+0.75+0.25</f>
        <v>10.75</v>
      </c>
      <c r="N347" s="2" t="s">
        <v>111</v>
      </c>
      <c r="O347" s="2">
        <v>359.98678469999999</v>
      </c>
    </row>
    <row r="348" spans="1:15" x14ac:dyDescent="0.3">
      <c r="A348" s="2" t="s">
        <v>49</v>
      </c>
      <c r="B348" s="2" t="s">
        <v>7</v>
      </c>
      <c r="C348" s="2" t="s">
        <v>4</v>
      </c>
      <c r="D348" s="7">
        <v>44285</v>
      </c>
      <c r="E348" s="2">
        <v>0</v>
      </c>
      <c r="F348" s="2">
        <v>41.146166666666666</v>
      </c>
      <c r="G348" s="9">
        <v>-0.35128019216046869</v>
      </c>
      <c r="H348" s="8" t="s">
        <v>10</v>
      </c>
      <c r="I348" s="2" t="s">
        <v>10</v>
      </c>
      <c r="J348" s="2" t="s">
        <v>10</v>
      </c>
      <c r="K348" s="2" t="s">
        <v>10</v>
      </c>
      <c r="L348" s="2" t="s">
        <v>10</v>
      </c>
      <c r="M348" s="10">
        <f>0.25+0.25+0.25+0.75+0.75+0.75+0.5+0.5+0.5+0.25+0.25+0.75+0.25+0.5</f>
        <v>6.5</v>
      </c>
      <c r="N348" s="2" t="s">
        <v>111</v>
      </c>
      <c r="O348" s="2">
        <v>1217.083713</v>
      </c>
    </row>
    <row r="349" spans="1:15" x14ac:dyDescent="0.3">
      <c r="A349" s="2" t="s">
        <v>49</v>
      </c>
      <c r="B349" s="2" t="s">
        <v>8</v>
      </c>
      <c r="C349" s="2" t="s">
        <v>5</v>
      </c>
      <c r="D349" s="7">
        <v>44285</v>
      </c>
      <c r="E349" s="2">
        <v>0</v>
      </c>
      <c r="F349" s="2">
        <v>49.266666666666673</v>
      </c>
      <c r="G349" s="9">
        <v>-0.3193504736129904</v>
      </c>
      <c r="H349" s="8" t="s">
        <v>10</v>
      </c>
      <c r="I349" s="2" t="s">
        <v>10</v>
      </c>
      <c r="J349" s="2" t="s">
        <v>10</v>
      </c>
      <c r="K349" s="2" t="s">
        <v>10</v>
      </c>
      <c r="L349" s="2" t="s">
        <v>10</v>
      </c>
      <c r="M349" s="10">
        <f>0.5+0.5+1+1.25+1+1+1+1+1.25+0.5+0.25+0.25+0.25+0.25+0.5+0.25+0.25+0.25</f>
        <v>11.25</v>
      </c>
      <c r="O349" s="2">
        <v>1583.628271</v>
      </c>
    </row>
    <row r="350" spans="1:15" x14ac:dyDescent="0.3">
      <c r="A350" s="2" t="s">
        <v>50</v>
      </c>
      <c r="B350" s="2" t="s">
        <v>9</v>
      </c>
      <c r="C350" s="2" t="s">
        <v>4</v>
      </c>
      <c r="D350" s="7">
        <v>44285</v>
      </c>
      <c r="E350" s="2">
        <v>1</v>
      </c>
      <c r="F350" s="2" t="s">
        <v>10</v>
      </c>
      <c r="G350" s="9" t="s">
        <v>10</v>
      </c>
      <c r="H350" s="8" t="s">
        <v>10</v>
      </c>
      <c r="I350" s="2" t="s">
        <v>10</v>
      </c>
      <c r="J350" s="2" t="s">
        <v>10</v>
      </c>
      <c r="K350" s="2" t="s">
        <v>10</v>
      </c>
      <c r="L350" s="2" t="s">
        <v>10</v>
      </c>
      <c r="M350" s="2" t="s">
        <v>10</v>
      </c>
      <c r="N350" s="2" t="s">
        <v>10</v>
      </c>
      <c r="O350" s="2" t="s">
        <v>10</v>
      </c>
    </row>
    <row r="351" spans="1:15" x14ac:dyDescent="0.3">
      <c r="A351" s="2" t="s">
        <v>50</v>
      </c>
      <c r="B351" s="2" t="s">
        <v>11</v>
      </c>
      <c r="C351" s="2" t="s">
        <v>5</v>
      </c>
      <c r="D351" s="7">
        <v>44285</v>
      </c>
      <c r="E351" s="2">
        <v>0</v>
      </c>
      <c r="F351" s="2">
        <v>54.333333333333336</v>
      </c>
      <c r="G351" s="9">
        <v>-0.35092024539877298</v>
      </c>
      <c r="H351" s="8" t="s">
        <v>10</v>
      </c>
      <c r="I351" s="2" t="s">
        <v>10</v>
      </c>
      <c r="J351" s="2" t="s">
        <v>10</v>
      </c>
      <c r="K351" s="2" t="s">
        <v>10</v>
      </c>
      <c r="L351" s="2" t="s">
        <v>10</v>
      </c>
      <c r="M351" s="10">
        <f>0.25+0.25+0.25+0.25+0.25+0.25+0.5+0.75+1+0.75+0.5+0.75+0.5+0.25+0.25+0.25+0.25+0.25+0.25+0.5+0.25+0.25+0.25</f>
        <v>9</v>
      </c>
      <c r="N351" s="2" t="s">
        <v>111</v>
      </c>
      <c r="O351" s="2">
        <v>3677.6989349999999</v>
      </c>
    </row>
    <row r="352" spans="1:15" x14ac:dyDescent="0.3">
      <c r="A352" s="2" t="s">
        <v>50</v>
      </c>
      <c r="B352" s="2" t="s">
        <v>12</v>
      </c>
      <c r="C352" s="2" t="s">
        <v>5</v>
      </c>
      <c r="D352" s="7">
        <v>44285</v>
      </c>
      <c r="E352" s="2">
        <v>0</v>
      </c>
      <c r="F352" s="2">
        <v>60.13333333333334</v>
      </c>
      <c r="G352" s="9">
        <v>-0.15077605321507725</v>
      </c>
      <c r="H352" s="8" t="s">
        <v>10</v>
      </c>
      <c r="I352" s="2" t="s">
        <v>10</v>
      </c>
      <c r="J352" s="2" t="s">
        <v>10</v>
      </c>
      <c r="K352" s="2" t="s">
        <v>10</v>
      </c>
      <c r="L352" s="2" t="s">
        <v>10</v>
      </c>
      <c r="M352" s="10">
        <f>0.5+1+1+0.75+1+0.75+0.25+0.25+0.5+0.75+5+0.5+0.5+0.5+0.25</f>
        <v>13.5</v>
      </c>
      <c r="N352" s="2" t="s">
        <v>111</v>
      </c>
      <c r="O352" s="2">
        <v>1180.7942169999999</v>
      </c>
    </row>
    <row r="353" spans="1:15" x14ac:dyDescent="0.3">
      <c r="A353" s="2" t="s">
        <v>50</v>
      </c>
      <c r="B353" s="2" t="s">
        <v>13</v>
      </c>
      <c r="C353" s="2" t="s">
        <v>4</v>
      </c>
      <c r="D353" s="7">
        <v>44285</v>
      </c>
      <c r="E353" s="2">
        <v>0</v>
      </c>
      <c r="F353" s="2">
        <v>43.081466666666671</v>
      </c>
      <c r="G353" s="9">
        <v>-0.56447784198000073</v>
      </c>
      <c r="H353" s="8" t="s">
        <v>10</v>
      </c>
      <c r="I353" s="2" t="s">
        <v>10</v>
      </c>
      <c r="J353" s="2" t="s">
        <v>10</v>
      </c>
      <c r="K353" s="2" t="s">
        <v>10</v>
      </c>
      <c r="L353" s="2" t="s">
        <v>10</v>
      </c>
      <c r="M353" s="10">
        <f>0.5+1+1+0.75+0.25+1</f>
        <v>4.5</v>
      </c>
      <c r="N353" s="2" t="s">
        <v>111</v>
      </c>
      <c r="O353" s="2">
        <v>111.25271499999999</v>
      </c>
    </row>
    <row r="354" spans="1:15" x14ac:dyDescent="0.3">
      <c r="A354" s="2" t="s">
        <v>50</v>
      </c>
      <c r="B354" s="2" t="s">
        <v>14</v>
      </c>
      <c r="C354" s="2" t="s">
        <v>4</v>
      </c>
      <c r="D354" s="7">
        <v>44285</v>
      </c>
      <c r="E354" s="2">
        <v>0</v>
      </c>
      <c r="F354" s="2">
        <v>51.936000000000007</v>
      </c>
      <c r="G354" s="9">
        <v>-0.12060998151571156</v>
      </c>
      <c r="H354" s="8" t="s">
        <v>10</v>
      </c>
      <c r="I354" s="2" t="s">
        <v>10</v>
      </c>
      <c r="J354" s="2" t="s">
        <v>10</v>
      </c>
      <c r="K354" s="2" t="s">
        <v>10</v>
      </c>
      <c r="L354" s="2" t="s">
        <v>10</v>
      </c>
      <c r="M354" s="10">
        <f>0.25+0.5+0.75+0.75+0.5+0.25+1.5+1.75+1.5+1.25+1.75+1.5+1.5+1+0.25+0.25+0.5+0.5+0.5+0.5+0.25</f>
        <v>17.5</v>
      </c>
      <c r="N354" s="2" t="s">
        <v>111</v>
      </c>
      <c r="O354" s="2">
        <v>2036.968936</v>
      </c>
    </row>
    <row r="355" spans="1:15" x14ac:dyDescent="0.3">
      <c r="A355" s="2" t="s">
        <v>50</v>
      </c>
      <c r="B355" s="2" t="s">
        <v>15</v>
      </c>
      <c r="C355" s="2" t="s">
        <v>5</v>
      </c>
      <c r="D355" s="7">
        <v>44285</v>
      </c>
      <c r="E355" s="2">
        <v>0</v>
      </c>
      <c r="F355" s="2">
        <v>57.533333333333331</v>
      </c>
      <c r="G355" s="9">
        <v>-3.2444959443800769E-2</v>
      </c>
      <c r="H355" s="8" t="s">
        <v>10</v>
      </c>
      <c r="I355" s="2" t="s">
        <v>10</v>
      </c>
      <c r="J355" s="2" t="s">
        <v>10</v>
      </c>
      <c r="K355" s="2" t="s">
        <v>10</v>
      </c>
      <c r="L355" s="2" t="s">
        <v>10</v>
      </c>
      <c r="M355" s="10">
        <f>0.5+0.25+0.25+0.25+0.25+0.5+0.25+0.25+0.25</f>
        <v>2.75</v>
      </c>
      <c r="N355" s="2" t="s">
        <v>111</v>
      </c>
      <c r="O355" s="2">
        <v>228.2211925</v>
      </c>
    </row>
    <row r="356" spans="1:15" x14ac:dyDescent="0.3">
      <c r="A356" s="2" t="s">
        <v>50</v>
      </c>
      <c r="B356" s="2" t="s">
        <v>16</v>
      </c>
      <c r="C356" s="2" t="s">
        <v>4</v>
      </c>
      <c r="D356" s="7">
        <v>44285</v>
      </c>
      <c r="E356" s="2">
        <v>0</v>
      </c>
      <c r="F356" s="2">
        <v>49.918966666666662</v>
      </c>
      <c r="G356" s="9">
        <v>-0.31813625949789293</v>
      </c>
      <c r="H356" s="8" t="s">
        <v>10</v>
      </c>
      <c r="I356" s="2" t="s">
        <v>10</v>
      </c>
      <c r="J356" s="2" t="s">
        <v>10</v>
      </c>
      <c r="K356" s="2" t="s">
        <v>10</v>
      </c>
      <c r="L356" s="2" t="s">
        <v>10</v>
      </c>
      <c r="M356" s="10">
        <f>0.5+0.5+0.75+0.5+0.5+0.25+0.5+1.5+2+2+1.75+1.75+1.5+0.75+0.5+0.5+0.5+0.5+0.75+0.5+0.25</f>
        <v>18.25</v>
      </c>
      <c r="N356" s="2" t="s">
        <v>111</v>
      </c>
      <c r="O356" s="2">
        <v>1489.9427969999999</v>
      </c>
    </row>
    <row r="357" spans="1:15" x14ac:dyDescent="0.3">
      <c r="A357" s="2" t="s">
        <v>50</v>
      </c>
      <c r="B357" s="2" t="s">
        <v>17</v>
      </c>
      <c r="C357" s="2" t="s">
        <v>5</v>
      </c>
      <c r="D357" s="7">
        <v>44285</v>
      </c>
      <c r="E357" s="2">
        <v>0</v>
      </c>
      <c r="F357" s="2">
        <v>58.866666666666667</v>
      </c>
      <c r="G357" s="9">
        <v>-3.2842582106455298E-2</v>
      </c>
      <c r="H357" s="8" t="s">
        <v>10</v>
      </c>
      <c r="I357" s="2" t="s">
        <v>10</v>
      </c>
      <c r="J357" s="2" t="s">
        <v>10</v>
      </c>
      <c r="K357" s="2" t="s">
        <v>10</v>
      </c>
      <c r="L357" s="2" t="s">
        <v>10</v>
      </c>
      <c r="M357" s="10">
        <f>0.25+0.5+0.5+0.75+0.25+0.25+0.5+0.75+0.75+0.5+0.25</f>
        <v>5.25</v>
      </c>
      <c r="N357" s="2" t="s">
        <v>111</v>
      </c>
      <c r="O357" s="2">
        <v>1462.966975</v>
      </c>
    </row>
    <row r="358" spans="1:15" x14ac:dyDescent="0.3">
      <c r="A358" s="2" t="s">
        <v>50</v>
      </c>
      <c r="B358" s="2" t="s">
        <v>18</v>
      </c>
      <c r="C358" s="2" t="s">
        <v>4</v>
      </c>
      <c r="D358" s="7">
        <v>44285</v>
      </c>
      <c r="E358" s="2">
        <v>1</v>
      </c>
      <c r="F358" s="2" t="s">
        <v>10</v>
      </c>
      <c r="G358" s="9" t="s">
        <v>10</v>
      </c>
      <c r="H358" s="8" t="s">
        <v>10</v>
      </c>
      <c r="I358" s="2" t="s">
        <v>10</v>
      </c>
      <c r="J358" s="2" t="s">
        <v>10</v>
      </c>
      <c r="K358" s="2" t="s">
        <v>10</v>
      </c>
      <c r="L358" s="2" t="s">
        <v>10</v>
      </c>
      <c r="M358" s="2" t="s">
        <v>10</v>
      </c>
      <c r="N358" s="2" t="s">
        <v>10</v>
      </c>
      <c r="O358" s="2" t="s">
        <v>10</v>
      </c>
    </row>
    <row r="359" spans="1:15" x14ac:dyDescent="0.3">
      <c r="A359" s="2" t="s">
        <v>50</v>
      </c>
      <c r="B359" s="2" t="s">
        <v>19</v>
      </c>
      <c r="C359" s="2" t="s">
        <v>5</v>
      </c>
      <c r="D359" s="7">
        <v>44285</v>
      </c>
      <c r="E359" s="2">
        <v>1</v>
      </c>
      <c r="F359" s="2" t="s">
        <v>10</v>
      </c>
      <c r="G359" s="9" t="s">
        <v>10</v>
      </c>
      <c r="H359" s="8" t="s">
        <v>10</v>
      </c>
      <c r="I359" s="2" t="s">
        <v>10</v>
      </c>
      <c r="J359" s="2" t="s">
        <v>10</v>
      </c>
      <c r="K359" s="2" t="s">
        <v>10</v>
      </c>
      <c r="L359" s="2" t="s">
        <v>10</v>
      </c>
      <c r="M359" s="2" t="s">
        <v>10</v>
      </c>
      <c r="N359" s="2" t="s">
        <v>10</v>
      </c>
      <c r="O359" s="2" t="s">
        <v>10</v>
      </c>
    </row>
    <row r="360" spans="1:15" x14ac:dyDescent="0.3">
      <c r="A360" s="2" t="s">
        <v>51</v>
      </c>
      <c r="B360" s="2" t="s">
        <v>20</v>
      </c>
      <c r="C360" s="2" t="s">
        <v>4</v>
      </c>
      <c r="D360" s="7">
        <v>44285</v>
      </c>
      <c r="E360" s="2">
        <v>0</v>
      </c>
      <c r="F360" s="2">
        <v>52.800233333333338</v>
      </c>
      <c r="G360" s="9">
        <v>-0.12878289047965064</v>
      </c>
      <c r="H360" s="8" t="s">
        <v>10</v>
      </c>
      <c r="I360" s="2" t="s">
        <v>10</v>
      </c>
      <c r="J360" s="2" t="s">
        <v>10</v>
      </c>
      <c r="K360" s="2" t="s">
        <v>10</v>
      </c>
      <c r="L360" s="2" t="s">
        <v>10</v>
      </c>
      <c r="M360" s="10">
        <f>(1+1+0.5+0.5+0.5+0.5+0.5+0.5+0.25+0.5+0.5+0.5+0.75+1+1.5+1+1.25+0.5+0.25+1.25+1.5+1+1+1.5+2+1.75+1+0.5)</f>
        <v>24.5</v>
      </c>
      <c r="N360" s="2" t="s">
        <v>111</v>
      </c>
      <c r="O360" s="2">
        <v>2175.3595770000002</v>
      </c>
    </row>
    <row r="361" spans="1:15" x14ac:dyDescent="0.3">
      <c r="A361" s="2" t="s">
        <v>51</v>
      </c>
      <c r="B361" s="2" t="s">
        <v>21</v>
      </c>
      <c r="C361" s="2" t="s">
        <v>4</v>
      </c>
      <c r="D361" s="7">
        <v>44285</v>
      </c>
      <c r="E361" s="2">
        <v>0</v>
      </c>
      <c r="F361" s="2">
        <v>47.426900000000003</v>
      </c>
      <c r="G361" s="9">
        <v>-0.22293466366133985</v>
      </c>
      <c r="H361" s="8" t="s">
        <v>10</v>
      </c>
      <c r="I361" s="2" t="s">
        <v>10</v>
      </c>
      <c r="J361" s="2" t="s">
        <v>10</v>
      </c>
      <c r="K361" s="2" t="s">
        <v>10</v>
      </c>
      <c r="L361" s="2" t="s">
        <v>10</v>
      </c>
      <c r="M361" s="10">
        <f>0.75+1+1.25+1.25+1+0.5+0.25+1.25+1+0.75+0.5+0.75+0.5+0.75+0.5+0.75+0.5</f>
        <v>13.25</v>
      </c>
      <c r="N361" s="2" t="s">
        <v>111</v>
      </c>
      <c r="O361" s="2">
        <v>995.68459770000004</v>
      </c>
    </row>
    <row r="362" spans="1:15" x14ac:dyDescent="0.3">
      <c r="A362" s="2" t="s">
        <v>51</v>
      </c>
      <c r="B362" s="2" t="s">
        <v>22</v>
      </c>
      <c r="C362" s="2" t="s">
        <v>5</v>
      </c>
      <c r="D362" s="7">
        <v>44285</v>
      </c>
      <c r="E362" s="2">
        <v>0</v>
      </c>
      <c r="F362" s="2">
        <v>54.800000000000004</v>
      </c>
      <c r="G362" s="9">
        <v>-0.24817518248175174</v>
      </c>
      <c r="H362" s="8" t="s">
        <v>10</v>
      </c>
      <c r="I362" s="2" t="s">
        <v>10</v>
      </c>
      <c r="J362" s="2" t="s">
        <v>10</v>
      </c>
      <c r="K362" s="2" t="s">
        <v>10</v>
      </c>
      <c r="L362" s="2" t="s">
        <v>10</v>
      </c>
      <c r="M362" s="10">
        <f>0.25+1+1.25+1+1.25+0.75+0.5+0.25+0.25+1.25+1.25+1.25+1+1.5+1.25+0.75+0.25</f>
        <v>15</v>
      </c>
      <c r="N362" s="2" t="s">
        <v>111</v>
      </c>
      <c r="O362" s="2">
        <v>1302.8724669999999</v>
      </c>
    </row>
    <row r="363" spans="1:15" x14ac:dyDescent="0.3">
      <c r="A363" s="2" t="s">
        <v>51</v>
      </c>
      <c r="B363" s="2" t="s">
        <v>23</v>
      </c>
      <c r="C363" s="2" t="s">
        <v>4</v>
      </c>
      <c r="D363" s="7">
        <v>44285</v>
      </c>
      <c r="E363" s="2">
        <v>0</v>
      </c>
      <c r="F363" s="2">
        <v>42.829866666666675</v>
      </c>
      <c r="G363" s="9">
        <v>-0.10203471720668422</v>
      </c>
      <c r="H363" s="8" t="s">
        <v>10</v>
      </c>
      <c r="I363" s="2" t="s">
        <v>10</v>
      </c>
      <c r="J363" s="2" t="s">
        <v>10</v>
      </c>
      <c r="K363" s="2" t="s">
        <v>10</v>
      </c>
      <c r="L363" s="2" t="s">
        <v>10</v>
      </c>
      <c r="M363" s="10">
        <f>0.25+0.25+0.25+0.75+1.5+1.25+1.25+1.25+1.25+0.5+0.25+0.5+0.5+0.5+0.75+0.75+0.75+0.25</f>
        <v>12.75</v>
      </c>
      <c r="N363" s="2" t="s">
        <v>111</v>
      </c>
      <c r="O363" s="2">
        <v>1124.274398</v>
      </c>
    </row>
    <row r="364" spans="1:15" x14ac:dyDescent="0.3">
      <c r="A364" s="2" t="s">
        <v>51</v>
      </c>
      <c r="B364" s="2" t="s">
        <v>24</v>
      </c>
      <c r="C364" s="2" t="s">
        <v>5</v>
      </c>
      <c r="D364" s="7">
        <v>44285</v>
      </c>
      <c r="E364" s="2">
        <v>0</v>
      </c>
      <c r="F364" s="2">
        <v>70.066666666666663</v>
      </c>
      <c r="G364" s="9">
        <v>-0.14747859181731693</v>
      </c>
      <c r="H364" s="8" t="s">
        <v>10</v>
      </c>
      <c r="I364" s="2" t="s">
        <v>10</v>
      </c>
      <c r="J364" s="2" t="s">
        <v>10</v>
      </c>
      <c r="K364" s="2" t="s">
        <v>10</v>
      </c>
      <c r="L364" s="2" t="s">
        <v>10</v>
      </c>
      <c r="M364" s="2">
        <v>7</v>
      </c>
      <c r="N364" s="2" t="s">
        <v>111</v>
      </c>
      <c r="O364" s="2">
        <v>2428.7654309999998</v>
      </c>
    </row>
    <row r="365" spans="1:15" x14ac:dyDescent="0.3">
      <c r="A365" s="2" t="s">
        <v>51</v>
      </c>
      <c r="B365" s="2" t="s">
        <v>25</v>
      </c>
      <c r="C365" s="2" t="s">
        <v>4</v>
      </c>
      <c r="D365" s="7">
        <v>44285</v>
      </c>
      <c r="E365" s="2">
        <v>1</v>
      </c>
      <c r="F365" s="2" t="s">
        <v>10</v>
      </c>
      <c r="G365" s="9" t="s">
        <v>10</v>
      </c>
      <c r="H365" s="8" t="s">
        <v>10</v>
      </c>
      <c r="I365" s="2" t="s">
        <v>10</v>
      </c>
      <c r="J365" s="2" t="s">
        <v>10</v>
      </c>
      <c r="K365" s="2" t="s">
        <v>10</v>
      </c>
      <c r="L365" s="2" t="s">
        <v>10</v>
      </c>
      <c r="M365" s="2">
        <v>1</v>
      </c>
      <c r="N365" s="2" t="s">
        <v>112</v>
      </c>
      <c r="O365" s="2">
        <v>928.71917089999999</v>
      </c>
    </row>
    <row r="366" spans="1:15" x14ac:dyDescent="0.3">
      <c r="A366" s="2" t="s">
        <v>52</v>
      </c>
      <c r="B366" s="2" t="s">
        <v>26</v>
      </c>
      <c r="C366" s="2" t="s">
        <v>4</v>
      </c>
      <c r="D366" s="7">
        <v>44285</v>
      </c>
      <c r="E366" s="2">
        <v>0</v>
      </c>
      <c r="F366" s="2">
        <v>40.510566666666669</v>
      </c>
      <c r="G366" s="9">
        <v>-0.23918286340107153</v>
      </c>
      <c r="H366" s="8" t="s">
        <v>10</v>
      </c>
      <c r="I366" s="2" t="s">
        <v>10</v>
      </c>
      <c r="J366" s="2" t="s">
        <v>10</v>
      </c>
      <c r="K366" s="2" t="s">
        <v>10</v>
      </c>
      <c r="L366" s="2" t="s">
        <v>10</v>
      </c>
      <c r="M366" s="10">
        <f>0.25+0.25+0.5+0.5+0.25+0.25+0.25+0.5+0.5+0.25</f>
        <v>3.5</v>
      </c>
      <c r="N366" s="2" t="s">
        <v>111</v>
      </c>
      <c r="O366" s="2">
        <v>553.29595400000005</v>
      </c>
    </row>
    <row r="367" spans="1:15" x14ac:dyDescent="0.3">
      <c r="A367" s="2" t="s">
        <v>52</v>
      </c>
      <c r="B367" s="2" t="s">
        <v>27</v>
      </c>
      <c r="C367" s="2" t="s">
        <v>5</v>
      </c>
      <c r="D367" s="7">
        <v>44285</v>
      </c>
      <c r="E367" s="2">
        <v>0</v>
      </c>
      <c r="F367" s="2">
        <v>58.966666666666676</v>
      </c>
      <c r="G367" s="9">
        <v>7.7444884115319468E-2</v>
      </c>
      <c r="H367" s="8" t="s">
        <v>10</v>
      </c>
      <c r="I367" s="2" t="s">
        <v>10</v>
      </c>
      <c r="J367" s="2" t="s">
        <v>10</v>
      </c>
      <c r="K367" s="2" t="s">
        <v>10</v>
      </c>
      <c r="L367" s="2" t="s">
        <v>10</v>
      </c>
      <c r="M367" s="10">
        <v>0.75</v>
      </c>
      <c r="N367" s="2" t="s">
        <v>111</v>
      </c>
      <c r="O367" s="2">
        <v>265.76387249999999</v>
      </c>
    </row>
    <row r="368" spans="1:15" x14ac:dyDescent="0.3">
      <c r="A368" s="2" t="s">
        <v>52</v>
      </c>
      <c r="B368" s="2" t="s">
        <v>28</v>
      </c>
      <c r="C368" s="2" t="s">
        <v>5</v>
      </c>
      <c r="D368" s="7">
        <v>44285</v>
      </c>
      <c r="E368" s="2">
        <v>0</v>
      </c>
      <c r="F368" s="2">
        <v>58.800000000000004</v>
      </c>
      <c r="G368" s="9">
        <v>-0.31292517006802711</v>
      </c>
      <c r="H368" s="8" t="s">
        <v>10</v>
      </c>
      <c r="I368" s="2" t="s">
        <v>10</v>
      </c>
      <c r="J368" s="2" t="s">
        <v>10</v>
      </c>
      <c r="K368" s="2" t="s">
        <v>10</v>
      </c>
      <c r="L368" s="2" t="s">
        <v>10</v>
      </c>
      <c r="M368" s="10">
        <f>1.25+0.25+0.25+0.25+0.25+0.25+0.5+0.25+0.25+0.5+0.5+0.5+0.5+0.25+0.75+0.75+0.5</f>
        <v>7.75</v>
      </c>
      <c r="N368" s="2" t="s">
        <v>111</v>
      </c>
      <c r="O368" s="2">
        <v>2857.0343619999999</v>
      </c>
    </row>
    <row r="369" spans="1:15" x14ac:dyDescent="0.3">
      <c r="A369" s="2" t="s">
        <v>53</v>
      </c>
      <c r="B369" s="2" t="s">
        <v>29</v>
      </c>
      <c r="C369" s="2" t="s">
        <v>4</v>
      </c>
      <c r="D369" s="7">
        <v>44285</v>
      </c>
      <c r="E369" s="2">
        <v>0</v>
      </c>
      <c r="F369" s="2">
        <v>42.717266666666674</v>
      </c>
      <c r="G369" s="9">
        <v>-0.32030919581309036</v>
      </c>
      <c r="H369" s="8" t="s">
        <v>10</v>
      </c>
      <c r="I369" s="2" t="s">
        <v>10</v>
      </c>
      <c r="J369" s="2" t="s">
        <v>10</v>
      </c>
      <c r="K369" s="2" t="s">
        <v>10</v>
      </c>
      <c r="L369" s="2" t="s">
        <v>10</v>
      </c>
      <c r="M369" s="10">
        <f>0.25+0.5+1+1.75+1.25+0.25+0.5+0.75+0.5+0.75+0.5+0.75+0.25</f>
        <v>9</v>
      </c>
      <c r="N369" s="2" t="s">
        <v>111</v>
      </c>
      <c r="O369" s="2">
        <v>1449.250914</v>
      </c>
    </row>
    <row r="370" spans="1:15" x14ac:dyDescent="0.3">
      <c r="A370" s="2" t="s">
        <v>53</v>
      </c>
      <c r="B370" s="2" t="s">
        <v>30</v>
      </c>
      <c r="C370" s="2" t="s">
        <v>5</v>
      </c>
      <c r="D370" s="7">
        <v>44285</v>
      </c>
      <c r="E370" s="2">
        <v>0</v>
      </c>
      <c r="F370" s="2">
        <v>49.800000000000004</v>
      </c>
      <c r="G370" s="9">
        <v>-0.1767068273092367</v>
      </c>
      <c r="H370" s="8" t="s">
        <v>10</v>
      </c>
      <c r="I370" s="2" t="s">
        <v>10</v>
      </c>
      <c r="J370" s="2" t="s">
        <v>10</v>
      </c>
      <c r="K370" s="2" t="s">
        <v>10</v>
      </c>
      <c r="L370" s="2" t="s">
        <v>10</v>
      </c>
      <c r="M370" s="10">
        <f>0.25+2+0.5+0.5+1.25+0.25+2+0.25</f>
        <v>7</v>
      </c>
      <c r="N370" s="2" t="s">
        <v>111</v>
      </c>
      <c r="O370" s="2">
        <v>1509.501855</v>
      </c>
    </row>
    <row r="371" spans="1:15" x14ac:dyDescent="0.3">
      <c r="A371" s="2" t="s">
        <v>53</v>
      </c>
      <c r="B371" s="2" t="s">
        <v>31</v>
      </c>
      <c r="C371" s="2" t="s">
        <v>4</v>
      </c>
      <c r="D371" s="7">
        <v>44285</v>
      </c>
      <c r="E371" s="2">
        <v>0</v>
      </c>
      <c r="F371" s="2">
        <v>39.308666666666667</v>
      </c>
      <c r="G371" s="9">
        <v>-0.2516323796279023</v>
      </c>
      <c r="H371" s="8" t="s">
        <v>10</v>
      </c>
      <c r="I371" s="2" t="s">
        <v>10</v>
      </c>
      <c r="J371" s="2" t="s">
        <v>10</v>
      </c>
      <c r="K371" s="2" t="s">
        <v>10</v>
      </c>
      <c r="L371" s="2" t="s">
        <v>10</v>
      </c>
      <c r="M371" s="10">
        <f>0.5+0.25+1+0.5+0.5+0.5+0.5+0.25+0.25+0.25+0.25+0.25+0.5+0.75+0.75+0.75+0.25</f>
        <v>8</v>
      </c>
      <c r="N371" s="2" t="s">
        <v>111</v>
      </c>
      <c r="O371" s="2">
        <v>1755.764635</v>
      </c>
    </row>
    <row r="372" spans="1:15" x14ac:dyDescent="0.3">
      <c r="A372" s="2" t="s">
        <v>53</v>
      </c>
      <c r="B372" s="2" t="s">
        <v>32</v>
      </c>
      <c r="C372" s="2" t="s">
        <v>5</v>
      </c>
      <c r="D372" s="7">
        <v>44285</v>
      </c>
      <c r="E372" s="2">
        <v>0</v>
      </c>
      <c r="F372" s="2">
        <v>53.93333333333333</v>
      </c>
      <c r="G372" s="9">
        <v>-0.20148331273176767</v>
      </c>
      <c r="H372" s="8" t="s">
        <v>10</v>
      </c>
      <c r="I372" s="2" t="s">
        <v>10</v>
      </c>
      <c r="J372" s="2" t="s">
        <v>10</v>
      </c>
      <c r="K372" s="2" t="s">
        <v>10</v>
      </c>
      <c r="L372" s="2" t="s">
        <v>10</v>
      </c>
      <c r="M372" s="10">
        <f>0.25+0.25+0.25+0.25+0.25+0.25+0.5+3.25+1+1.25+1.5+1.5+1.75+1+0.25+0.25+0.25+0.5+0.75+0.5+0.75</f>
        <v>16.5</v>
      </c>
      <c r="N372" s="2" t="s">
        <v>111</v>
      </c>
      <c r="O372" s="2">
        <v>2891.2574180000001</v>
      </c>
    </row>
    <row r="373" spans="1:15" x14ac:dyDescent="0.3">
      <c r="A373" s="2" t="s">
        <v>53</v>
      </c>
      <c r="B373" s="2" t="s">
        <v>33</v>
      </c>
      <c r="C373" s="2" t="s">
        <v>4</v>
      </c>
      <c r="D373" s="7">
        <v>44285</v>
      </c>
      <c r="E373" s="2">
        <v>1</v>
      </c>
      <c r="F373" s="2" t="s">
        <v>10</v>
      </c>
      <c r="G373" s="9" t="s">
        <v>10</v>
      </c>
      <c r="H373" s="8" t="s">
        <v>10</v>
      </c>
      <c r="I373" s="2" t="s">
        <v>10</v>
      </c>
      <c r="J373" s="2" t="s">
        <v>10</v>
      </c>
      <c r="K373" s="2" t="s">
        <v>10</v>
      </c>
      <c r="L373" s="2" t="s">
        <v>10</v>
      </c>
      <c r="M373" s="2" t="s">
        <v>10</v>
      </c>
      <c r="N373" s="2" t="s">
        <v>10</v>
      </c>
      <c r="O373" s="2" t="s">
        <v>10</v>
      </c>
    </row>
    <row r="374" spans="1:15" x14ac:dyDescent="0.3">
      <c r="A374" s="2" t="s">
        <v>53</v>
      </c>
      <c r="B374" s="2" t="s">
        <v>34</v>
      </c>
      <c r="C374" s="2" t="s">
        <v>5</v>
      </c>
      <c r="D374" s="7">
        <v>44285</v>
      </c>
      <c r="E374" s="2">
        <v>0</v>
      </c>
      <c r="F374" s="2">
        <v>43.533333333333339</v>
      </c>
      <c r="G374" s="9">
        <v>-0.21745788667687571</v>
      </c>
      <c r="H374" s="8" t="s">
        <v>10</v>
      </c>
      <c r="I374" s="2" t="s">
        <v>10</v>
      </c>
      <c r="J374" s="2" t="s">
        <v>10</v>
      </c>
      <c r="K374" s="2" t="s">
        <v>10</v>
      </c>
      <c r="L374" s="2" t="s">
        <v>10</v>
      </c>
      <c r="M374" s="10">
        <f>0.5+0.5+1+1.5+1.25+0.25+1</f>
        <v>6</v>
      </c>
      <c r="N374" s="2" t="s">
        <v>111</v>
      </c>
      <c r="O374" s="2">
        <v>1037.135106</v>
      </c>
    </row>
    <row r="375" spans="1:15" x14ac:dyDescent="0.3">
      <c r="A375" s="2" t="s">
        <v>53</v>
      </c>
      <c r="B375" s="2" t="s">
        <v>35</v>
      </c>
      <c r="C375" s="2" t="s">
        <v>5</v>
      </c>
      <c r="D375" s="7">
        <v>44285</v>
      </c>
      <c r="E375" s="2">
        <v>0</v>
      </c>
      <c r="F375" s="2">
        <v>43.000000000000007</v>
      </c>
      <c r="G375" s="9">
        <v>-0.21860465116279038</v>
      </c>
      <c r="H375" s="8" t="s">
        <v>10</v>
      </c>
      <c r="I375" s="2" t="s">
        <v>10</v>
      </c>
      <c r="J375" s="2" t="s">
        <v>10</v>
      </c>
      <c r="K375" s="2" t="s">
        <v>10</v>
      </c>
      <c r="L375" s="2" t="s">
        <v>10</v>
      </c>
      <c r="M375" s="10">
        <f>0.75+0.5+1.5+1.25+0.75+1.5+1+1.25</f>
        <v>8.5</v>
      </c>
      <c r="N375" s="2" t="s">
        <v>111</v>
      </c>
      <c r="O375" s="2">
        <v>1223.3266940000001</v>
      </c>
    </row>
    <row r="376" spans="1:15" x14ac:dyDescent="0.3">
      <c r="A376" s="2" t="s">
        <v>53</v>
      </c>
      <c r="B376" s="2" t="s">
        <v>36</v>
      </c>
      <c r="C376" s="2" t="s">
        <v>4</v>
      </c>
      <c r="D376" s="7">
        <v>44285</v>
      </c>
      <c r="E376" s="2">
        <v>0</v>
      </c>
      <c r="F376" s="2">
        <v>45.162866666666666</v>
      </c>
      <c r="G376" s="9">
        <v>-0.34181030728784556</v>
      </c>
      <c r="H376" s="8" t="s">
        <v>10</v>
      </c>
      <c r="I376" s="2" t="s">
        <v>10</v>
      </c>
      <c r="J376" s="2" t="s">
        <v>10</v>
      </c>
      <c r="K376" s="2" t="s">
        <v>10</v>
      </c>
      <c r="L376" s="2" t="s">
        <v>10</v>
      </c>
      <c r="M376" s="10">
        <f>0.25+0.5+0.5+0.5+0.75+0.25+1.25+1.25+1.25+1+1+1+0.5+0.5+0.25+0.25</f>
        <v>11</v>
      </c>
      <c r="N376" s="2" t="s">
        <v>111</v>
      </c>
      <c r="O376" s="2">
        <v>1405.878166</v>
      </c>
    </row>
    <row r="377" spans="1:15" x14ac:dyDescent="0.3">
      <c r="A377" s="2" t="s">
        <v>54</v>
      </c>
      <c r="B377" s="2" t="s">
        <v>37</v>
      </c>
      <c r="C377" s="2" t="s">
        <v>5</v>
      </c>
      <c r="D377" s="7">
        <v>44285</v>
      </c>
      <c r="E377" s="2">
        <v>0</v>
      </c>
      <c r="F377" s="2">
        <v>65.933333333333323</v>
      </c>
      <c r="G377" s="9">
        <v>-0.32861476238624876</v>
      </c>
      <c r="H377" s="8" t="s">
        <v>10</v>
      </c>
      <c r="I377" s="2" t="s">
        <v>10</v>
      </c>
      <c r="J377" s="2" t="s">
        <v>10</v>
      </c>
      <c r="K377" s="2" t="s">
        <v>10</v>
      </c>
      <c r="L377" s="2" t="s">
        <v>10</v>
      </c>
      <c r="M377" s="10">
        <f>0.25+0.25+0.5+1+1+1+1+1+0.5+0.25+1+0.5+1+1+1+0.5+0.5+0.25+0.25+0.25</f>
        <v>13</v>
      </c>
      <c r="N377" s="2" t="s">
        <v>111</v>
      </c>
      <c r="O377" s="2">
        <v>923.69335269999999</v>
      </c>
    </row>
    <row r="378" spans="1:15" x14ac:dyDescent="0.3">
      <c r="A378" s="2" t="s">
        <v>54</v>
      </c>
      <c r="B378" s="2" t="s">
        <v>38</v>
      </c>
      <c r="C378" s="2" t="s">
        <v>4</v>
      </c>
      <c r="D378" s="7">
        <v>44285</v>
      </c>
      <c r="E378" s="2">
        <v>0</v>
      </c>
      <c r="F378" s="2">
        <v>61.384466666666668</v>
      </c>
      <c r="G378" s="9">
        <v>-0.26090531046399357</v>
      </c>
      <c r="H378" s="8" t="s">
        <v>10</v>
      </c>
      <c r="I378" s="2" t="s">
        <v>10</v>
      </c>
      <c r="J378" s="2" t="s">
        <v>10</v>
      </c>
      <c r="K378" s="2" t="s">
        <v>10</v>
      </c>
      <c r="L378" s="2" t="s">
        <v>10</v>
      </c>
      <c r="M378" s="10">
        <f>0.25+3.5+0.25+0.25+0.25+0.25+0.5+0.5+0.75+0.5</f>
        <v>7</v>
      </c>
      <c r="N378" s="2" t="s">
        <v>111</v>
      </c>
      <c r="O378" s="2">
        <v>1047.221063</v>
      </c>
    </row>
    <row r="379" spans="1:15" x14ac:dyDescent="0.3">
      <c r="A379" s="2" t="s">
        <v>54</v>
      </c>
      <c r="B379" s="2" t="s">
        <v>39</v>
      </c>
      <c r="C379" s="2" t="s">
        <v>5</v>
      </c>
      <c r="D379" s="7">
        <v>44285</v>
      </c>
      <c r="E379" s="2">
        <v>0</v>
      </c>
      <c r="F379" s="2">
        <v>59.93333333333333</v>
      </c>
      <c r="G379" s="9">
        <v>-0.14794215795328136</v>
      </c>
      <c r="H379" s="8" t="s">
        <v>10</v>
      </c>
      <c r="I379" s="2" t="s">
        <v>10</v>
      </c>
      <c r="J379" s="2" t="s">
        <v>10</v>
      </c>
      <c r="K379" s="2" t="s">
        <v>10</v>
      </c>
      <c r="L379" s="2" t="s">
        <v>10</v>
      </c>
      <c r="M379" s="10">
        <f>0.25+0.25+0.75+1+1.5+1.5+1+0.5+0.25+0.25+0.25+0.25+0.25+0.25+0.25</f>
        <v>8.5</v>
      </c>
      <c r="N379" s="2" t="s">
        <v>112</v>
      </c>
      <c r="O379" s="2" t="s">
        <v>10</v>
      </c>
    </row>
    <row r="380" spans="1:15" x14ac:dyDescent="0.3">
      <c r="A380" s="2" t="s">
        <v>55</v>
      </c>
      <c r="B380" s="2" t="s">
        <v>40</v>
      </c>
      <c r="C380" s="2" t="s">
        <v>4</v>
      </c>
      <c r="D380" s="7">
        <v>44285</v>
      </c>
      <c r="E380" s="2">
        <v>0</v>
      </c>
      <c r="F380" s="2">
        <v>52.059766666666661</v>
      </c>
      <c r="G380" s="9">
        <v>-0.3791840532003925</v>
      </c>
      <c r="H380" s="8" t="s">
        <v>10</v>
      </c>
      <c r="I380" s="2" t="s">
        <v>10</v>
      </c>
      <c r="J380" s="2" t="s">
        <v>10</v>
      </c>
      <c r="K380" s="2" t="s">
        <v>10</v>
      </c>
      <c r="L380" s="2" t="s">
        <v>10</v>
      </c>
      <c r="M380" s="10">
        <f>1.5+0.5+0.5+0.75+0.5+0.25+0.5+0.5+0.5+0.5+0.5+0.5+0.5+0.5+0.75+0.75</f>
        <v>9.5</v>
      </c>
      <c r="N380" s="2" t="s">
        <v>111</v>
      </c>
      <c r="O380" s="2">
        <v>1376.8243399999999</v>
      </c>
    </row>
    <row r="381" spans="1:15" x14ac:dyDescent="0.3">
      <c r="A381" s="2" t="s">
        <v>55</v>
      </c>
      <c r="B381" s="2" t="s">
        <v>41</v>
      </c>
      <c r="C381" s="2" t="s">
        <v>5</v>
      </c>
      <c r="D381" s="7">
        <v>44285</v>
      </c>
      <c r="E381" s="2">
        <v>0</v>
      </c>
      <c r="F381" s="2">
        <v>49.733333333333341</v>
      </c>
      <c r="G381" s="9">
        <v>-0.26273458445040188</v>
      </c>
      <c r="H381" s="8" t="s">
        <v>10</v>
      </c>
      <c r="I381" s="2" t="s">
        <v>10</v>
      </c>
      <c r="J381" s="2" t="s">
        <v>10</v>
      </c>
      <c r="K381" s="2" t="s">
        <v>10</v>
      </c>
      <c r="L381" s="2" t="s">
        <v>10</v>
      </c>
      <c r="M381" s="10">
        <f>2.75+0.75+0.25+0.75+0.75+0.75+1+0.25+0.5+0.5+0.5+0.25</f>
        <v>9</v>
      </c>
      <c r="N381" s="2" t="s">
        <v>111</v>
      </c>
      <c r="O381" s="2">
        <v>945.7844705</v>
      </c>
    </row>
    <row r="382" spans="1:15" x14ac:dyDescent="0.3">
      <c r="A382" s="2" t="s">
        <v>55</v>
      </c>
      <c r="B382" s="2" t="s">
        <v>42</v>
      </c>
      <c r="C382" s="2" t="s">
        <v>5</v>
      </c>
      <c r="D382" s="7">
        <v>44285</v>
      </c>
      <c r="E382" s="2">
        <v>0</v>
      </c>
      <c r="F382" s="2">
        <v>52.4</v>
      </c>
      <c r="G382" s="9">
        <v>-0.27480916030534353</v>
      </c>
      <c r="H382" s="8" t="s">
        <v>10</v>
      </c>
      <c r="I382" s="2" t="s">
        <v>10</v>
      </c>
      <c r="J382" s="2" t="s">
        <v>10</v>
      </c>
      <c r="K382" s="2" t="s">
        <v>10</v>
      </c>
      <c r="L382" s="2" t="s">
        <v>10</v>
      </c>
      <c r="M382" s="10">
        <f>1.75+1.75+1.5+0.5+1+0.25+0.5+0.5+0.25+0.25+0.25+0.25+0.25+0.25+0.25+0.25+0.5</f>
        <v>10.25</v>
      </c>
      <c r="N382" s="2" t="s">
        <v>111</v>
      </c>
      <c r="O382" s="2">
        <v>1227.333666</v>
      </c>
    </row>
    <row r="383" spans="1:15" x14ac:dyDescent="0.3">
      <c r="A383" s="2" t="s">
        <v>55</v>
      </c>
      <c r="B383" s="2" t="s">
        <v>43</v>
      </c>
      <c r="C383" s="2" t="s">
        <v>4</v>
      </c>
      <c r="D383" s="7">
        <v>44285</v>
      </c>
      <c r="E383" s="2">
        <v>1</v>
      </c>
      <c r="F383" s="2" t="s">
        <v>10</v>
      </c>
      <c r="G383" s="9" t="s">
        <v>10</v>
      </c>
      <c r="H383" s="8" t="s">
        <v>10</v>
      </c>
      <c r="I383" s="2" t="s">
        <v>10</v>
      </c>
      <c r="J383" s="2" t="s">
        <v>10</v>
      </c>
      <c r="K383" s="2" t="s">
        <v>10</v>
      </c>
      <c r="L383" s="2" t="s">
        <v>10</v>
      </c>
      <c r="M383" s="2" t="s">
        <v>10</v>
      </c>
      <c r="N383" s="2" t="s">
        <v>10</v>
      </c>
      <c r="O383" s="2" t="s">
        <v>10</v>
      </c>
    </row>
    <row r="384" spans="1:15" x14ac:dyDescent="0.3">
      <c r="A384" s="2" t="s">
        <v>56</v>
      </c>
      <c r="B384" s="2" t="s">
        <v>44</v>
      </c>
      <c r="C384" s="2" t="s">
        <v>5</v>
      </c>
      <c r="D384" s="7">
        <v>44285</v>
      </c>
      <c r="E384" s="2">
        <v>0</v>
      </c>
      <c r="F384" s="2">
        <v>54.4</v>
      </c>
      <c r="G384" s="9">
        <v>-0.3088235294117645</v>
      </c>
      <c r="H384" s="8" t="s">
        <v>10</v>
      </c>
      <c r="I384" s="2" t="s">
        <v>10</v>
      </c>
      <c r="J384" s="2" t="s">
        <v>10</v>
      </c>
      <c r="K384" s="2" t="s">
        <v>10</v>
      </c>
      <c r="L384" s="2" t="s">
        <v>10</v>
      </c>
      <c r="M384" s="10">
        <f>2+0.25+0.25+0.25+0.5+0.75+0.5+0.75+0.5+0.75+0.75+0.75+0.5+1</f>
        <v>9.5</v>
      </c>
      <c r="N384" s="2" t="s">
        <v>111</v>
      </c>
      <c r="O384" s="2">
        <v>2165.2491450000002</v>
      </c>
    </row>
    <row r="385" spans="1:15" x14ac:dyDescent="0.3">
      <c r="A385" s="2" t="s">
        <v>56</v>
      </c>
      <c r="B385" s="2" t="s">
        <v>45</v>
      </c>
      <c r="C385" s="2" t="s">
        <v>4</v>
      </c>
      <c r="D385" s="7">
        <v>44285</v>
      </c>
      <c r="E385" s="2">
        <v>0</v>
      </c>
      <c r="F385" s="2">
        <v>53.265600000000006</v>
      </c>
      <c r="G385" s="9">
        <v>-0.64834339611306335</v>
      </c>
      <c r="H385" s="8" t="s">
        <v>10</v>
      </c>
      <c r="I385" s="2" t="s">
        <v>10</v>
      </c>
      <c r="J385" s="2" t="s">
        <v>10</v>
      </c>
      <c r="K385" s="2" t="s">
        <v>10</v>
      </c>
      <c r="L385" s="2" t="s">
        <v>10</v>
      </c>
      <c r="M385" s="10">
        <f>1.25+1+0.75+0.5+0.25+1+1.25+1.5+1.75+1.25+1+1+1.75</f>
        <v>14.25</v>
      </c>
      <c r="N385" s="2" t="s">
        <v>111</v>
      </c>
      <c r="O385" s="2">
        <v>1935.752123</v>
      </c>
    </row>
    <row r="386" spans="1:15" x14ac:dyDescent="0.3">
      <c r="A386" s="2" t="s">
        <v>56</v>
      </c>
      <c r="B386" s="2" t="s">
        <v>46</v>
      </c>
      <c r="C386" s="2" t="s">
        <v>4</v>
      </c>
      <c r="D386" s="7">
        <v>44285</v>
      </c>
      <c r="E386" s="2">
        <v>0</v>
      </c>
      <c r="F386" s="2">
        <v>40.466866666666668</v>
      </c>
      <c r="G386" s="9">
        <v>-0.46292522442228456</v>
      </c>
      <c r="H386" s="8" t="s">
        <v>10</v>
      </c>
      <c r="I386" s="2" t="s">
        <v>10</v>
      </c>
      <c r="J386" s="2" t="s">
        <v>10</v>
      </c>
      <c r="K386" s="2" t="s">
        <v>10</v>
      </c>
      <c r="L386" s="2" t="s">
        <v>10</v>
      </c>
      <c r="M386" s="10">
        <f>0.25+0.25+0.5+0.5+0.5+0.25+0.25+1+0.25+1+0.5+1.75+1.5+1.5+1.25+0.5+0.25+0.5+0.25+0.75+0.25</f>
        <v>13.75</v>
      </c>
      <c r="N386" s="2" t="s">
        <v>111</v>
      </c>
      <c r="O386" s="2">
        <v>3144.0675839999999</v>
      </c>
    </row>
    <row r="387" spans="1:15" x14ac:dyDescent="0.3">
      <c r="A387" s="2" t="s">
        <v>56</v>
      </c>
      <c r="B387" s="2" t="s">
        <v>47</v>
      </c>
      <c r="C387" s="2" t="s">
        <v>5</v>
      </c>
      <c r="D387" s="7">
        <v>44285</v>
      </c>
      <c r="E387" s="2">
        <v>0</v>
      </c>
      <c r="F387" s="2">
        <v>47.266666666666673</v>
      </c>
      <c r="G387" s="9">
        <v>-0.21438645980253868</v>
      </c>
      <c r="H387" s="8" t="s">
        <v>10</v>
      </c>
      <c r="I387" s="2" t="s">
        <v>10</v>
      </c>
      <c r="J387" s="2" t="s">
        <v>10</v>
      </c>
      <c r="K387" s="2" t="s">
        <v>10</v>
      </c>
      <c r="L387" s="2" t="s">
        <v>10</v>
      </c>
      <c r="M387" s="10">
        <f>0.25+0.5+0.75+1.25+1+1.75+1.5+2+1.75+0.75+1.75</f>
        <v>13.25</v>
      </c>
      <c r="N387" s="2" t="s">
        <v>111</v>
      </c>
      <c r="O387" s="2">
        <v>1709.6500109999999</v>
      </c>
    </row>
    <row r="388" spans="1:15" x14ac:dyDescent="0.3">
      <c r="A388" s="2" t="s">
        <v>56</v>
      </c>
      <c r="B388" s="2" t="s">
        <v>48</v>
      </c>
      <c r="C388" s="2" t="s">
        <v>4</v>
      </c>
      <c r="D388" s="7">
        <v>44285</v>
      </c>
      <c r="E388" s="2">
        <v>1</v>
      </c>
      <c r="F388" s="2" t="s">
        <v>10</v>
      </c>
      <c r="G388" s="9" t="s">
        <v>10</v>
      </c>
      <c r="H388" s="8" t="s">
        <v>10</v>
      </c>
      <c r="I388" s="2" t="s">
        <v>10</v>
      </c>
      <c r="J388" s="2" t="s">
        <v>10</v>
      </c>
      <c r="K388" s="2" t="s">
        <v>10</v>
      </c>
      <c r="L388" s="2" t="s">
        <v>10</v>
      </c>
      <c r="M388" s="10">
        <f>0.25+0.5+0.5+0.5+0.5+0.25</f>
        <v>2.5</v>
      </c>
      <c r="N388" s="2" t="s">
        <v>112</v>
      </c>
      <c r="O388" s="2" t="s">
        <v>10</v>
      </c>
    </row>
    <row r="389" spans="1:15" x14ac:dyDescent="0.3">
      <c r="A389" s="2" t="s">
        <v>49</v>
      </c>
      <c r="B389" s="2" t="s">
        <v>3</v>
      </c>
      <c r="C389" s="2" t="s">
        <v>4</v>
      </c>
      <c r="D389" s="7">
        <v>44298</v>
      </c>
      <c r="E389" s="2">
        <v>0</v>
      </c>
      <c r="F389" s="2">
        <v>61.824900000000007</v>
      </c>
      <c r="G389" s="9">
        <v>-2.2241847540392268E-2</v>
      </c>
      <c r="H389" s="8" t="s">
        <v>10</v>
      </c>
      <c r="I389" s="2" t="s">
        <v>10</v>
      </c>
      <c r="J389" s="2" t="s">
        <v>10</v>
      </c>
      <c r="K389" s="2" t="s">
        <v>10</v>
      </c>
      <c r="L389" s="2" t="s">
        <v>10</v>
      </c>
      <c r="M389" s="10">
        <f>0.25+0.25+1+2.5+0.75+1.75+2.5+1+0.75+4+0.75+0.75+0.5</f>
        <v>16.75</v>
      </c>
      <c r="N389" s="2" t="s">
        <v>111</v>
      </c>
      <c r="O389" s="2" t="s">
        <v>10</v>
      </c>
    </row>
    <row r="390" spans="1:15" x14ac:dyDescent="0.3">
      <c r="A390" s="2" t="s">
        <v>49</v>
      </c>
      <c r="B390" s="2" t="s">
        <v>6</v>
      </c>
      <c r="C390" s="2" t="s">
        <v>5</v>
      </c>
      <c r="D390" s="7">
        <v>44298</v>
      </c>
      <c r="E390" s="2">
        <v>0</v>
      </c>
      <c r="F390" s="2">
        <v>54.6</v>
      </c>
      <c r="G390" s="9">
        <v>-6.2271062271062272E-2</v>
      </c>
      <c r="H390" s="8" t="s">
        <v>10</v>
      </c>
      <c r="I390" s="2" t="s">
        <v>10</v>
      </c>
      <c r="J390" s="2" t="s">
        <v>10</v>
      </c>
      <c r="K390" s="2" t="s">
        <v>10</v>
      </c>
      <c r="L390" s="2" t="s">
        <v>10</v>
      </c>
      <c r="M390" s="10">
        <f>2.5+0.5+0.25+0.5+0.75+0.5+0.75+0.75+0.5+1+1.25+1+1.25+1+1</f>
        <v>13.5</v>
      </c>
      <c r="N390" s="2" t="s">
        <v>111</v>
      </c>
      <c r="O390" s="2" t="s">
        <v>10</v>
      </c>
    </row>
    <row r="391" spans="1:15" x14ac:dyDescent="0.3">
      <c r="A391" s="2" t="s">
        <v>49</v>
      </c>
      <c r="B391" s="2" t="s">
        <v>7</v>
      </c>
      <c r="C391" s="2" t="s">
        <v>4</v>
      </c>
      <c r="D391" s="7">
        <v>44298</v>
      </c>
      <c r="E391" s="2">
        <v>0</v>
      </c>
      <c r="F391" s="2">
        <v>41.612833333333334</v>
      </c>
      <c r="G391" s="9">
        <v>-0.33612627514749049</v>
      </c>
      <c r="H391" s="8" t="s">
        <v>10</v>
      </c>
      <c r="I391" s="2" t="s">
        <v>10</v>
      </c>
      <c r="J391" s="2" t="s">
        <v>10</v>
      </c>
      <c r="K391" s="2" t="s">
        <v>10</v>
      </c>
      <c r="L391" s="2" t="s">
        <v>10</v>
      </c>
      <c r="M391" s="10">
        <f>0.25+0.25+0.5+0.25+1+1+0.5+1.5+0.5+0.5+0.5+0.75+1+0.75+0.5</f>
        <v>9.75</v>
      </c>
      <c r="N391" s="2" t="s">
        <v>111</v>
      </c>
      <c r="O391" s="2" t="s">
        <v>10</v>
      </c>
    </row>
    <row r="392" spans="1:15" x14ac:dyDescent="0.3">
      <c r="A392" s="2" t="s">
        <v>49</v>
      </c>
      <c r="B392" s="2" t="s">
        <v>8</v>
      </c>
      <c r="C392" s="2" t="s">
        <v>5</v>
      </c>
      <c r="D392" s="7">
        <v>44298</v>
      </c>
      <c r="E392" s="2">
        <v>0</v>
      </c>
      <c r="F392" s="2">
        <v>49</v>
      </c>
      <c r="G392" s="9">
        <v>-0.32653061224489788</v>
      </c>
      <c r="H392" s="8" t="s">
        <v>10</v>
      </c>
      <c r="I392" s="2" t="s">
        <v>10</v>
      </c>
      <c r="J392" s="2" t="s">
        <v>10</v>
      </c>
      <c r="K392" s="2" t="s">
        <v>10</v>
      </c>
      <c r="L392" s="2" t="s">
        <v>10</v>
      </c>
      <c r="M392" s="10">
        <f>0.5+0.25+0.25+0.25+0.25+0.25+0.5+0.25+0.5+0.5+0.75+0.5+1.25+1+0.75+1+0.5+1+1+1+1.25+1.25</f>
        <v>14.75</v>
      </c>
      <c r="N392" s="2" t="s">
        <v>111</v>
      </c>
      <c r="O392" s="2" t="s">
        <v>10</v>
      </c>
    </row>
    <row r="393" spans="1:15" x14ac:dyDescent="0.3">
      <c r="A393" s="2" t="s">
        <v>50</v>
      </c>
      <c r="B393" s="2" t="s">
        <v>9</v>
      </c>
      <c r="C393" s="2" t="s">
        <v>4</v>
      </c>
      <c r="D393" s="7">
        <v>44298</v>
      </c>
      <c r="E393" s="2">
        <v>1</v>
      </c>
      <c r="F393" s="2" t="s">
        <v>10</v>
      </c>
      <c r="G393" s="9" t="s">
        <v>10</v>
      </c>
      <c r="H393" s="8" t="s">
        <v>10</v>
      </c>
      <c r="I393" s="2" t="s">
        <v>10</v>
      </c>
      <c r="J393" s="2" t="s">
        <v>10</v>
      </c>
      <c r="K393" s="2" t="s">
        <v>10</v>
      </c>
      <c r="L393" s="2" t="s">
        <v>10</v>
      </c>
      <c r="M393" s="2" t="s">
        <v>10</v>
      </c>
      <c r="N393" s="2" t="s">
        <v>10</v>
      </c>
      <c r="O393" s="2" t="s">
        <v>10</v>
      </c>
    </row>
    <row r="394" spans="1:15" x14ac:dyDescent="0.3">
      <c r="A394" s="2" t="s">
        <v>50</v>
      </c>
      <c r="B394" s="2" t="s">
        <v>11</v>
      </c>
      <c r="C394" s="2" t="s">
        <v>5</v>
      </c>
      <c r="D394" s="7">
        <v>44298</v>
      </c>
      <c r="E394" s="2">
        <v>0</v>
      </c>
      <c r="F394" s="2">
        <v>52</v>
      </c>
      <c r="G394" s="9">
        <v>-0.41153846153846163</v>
      </c>
      <c r="H394" s="8" t="s">
        <v>10</v>
      </c>
      <c r="I394" s="2" t="s">
        <v>10</v>
      </c>
      <c r="J394" s="2" t="s">
        <v>10</v>
      </c>
      <c r="K394" s="2" t="s">
        <v>10</v>
      </c>
      <c r="L394" s="2" t="s">
        <v>10</v>
      </c>
      <c r="M394" s="10">
        <f>1.25+1+1.25+1+1.25+0.75+1.25+1+0.75+1+2.5+2+1+0.5+0.25+1.5+1.5+1.25+0.25+0.5+0.5+0.5+0.5+0.5+0.5+1</f>
        <v>25.25</v>
      </c>
      <c r="N394" s="2" t="s">
        <v>111</v>
      </c>
      <c r="O394" s="2" t="s">
        <v>10</v>
      </c>
    </row>
    <row r="395" spans="1:15" x14ac:dyDescent="0.3">
      <c r="A395" s="2" t="s">
        <v>50</v>
      </c>
      <c r="B395" s="2" t="s">
        <v>12</v>
      </c>
      <c r="C395" s="2" t="s">
        <v>5</v>
      </c>
      <c r="D395" s="7">
        <v>44298</v>
      </c>
      <c r="E395" s="2">
        <v>0</v>
      </c>
      <c r="F395" s="2">
        <v>55.666666666666671</v>
      </c>
      <c r="G395" s="9">
        <v>-0.24311377245508958</v>
      </c>
      <c r="H395" s="8" t="s">
        <v>10</v>
      </c>
      <c r="I395" s="2" t="s">
        <v>10</v>
      </c>
      <c r="J395" s="2" t="s">
        <v>10</v>
      </c>
      <c r="K395" s="2" t="s">
        <v>10</v>
      </c>
      <c r="L395" s="2" t="s">
        <v>10</v>
      </c>
      <c r="M395" s="10">
        <f>0.25+0.25+0.25+0.25+0.5+0.5+0.25+0.25+1+0.25+1+0.25+0.25+1+0.25+1+0.5+0.75+1+0.75</f>
        <v>10.5</v>
      </c>
      <c r="N395" s="2" t="s">
        <v>111</v>
      </c>
      <c r="O395" s="2" t="s">
        <v>10</v>
      </c>
    </row>
    <row r="396" spans="1:15" x14ac:dyDescent="0.3">
      <c r="A396" s="2" t="s">
        <v>50</v>
      </c>
      <c r="B396" s="2" t="s">
        <v>13</v>
      </c>
      <c r="C396" s="2" t="s">
        <v>4</v>
      </c>
      <c r="D396" s="7">
        <v>44298</v>
      </c>
      <c r="E396" s="2">
        <v>0</v>
      </c>
      <c r="F396" s="2">
        <v>36.881466666666668</v>
      </c>
      <c r="G396" s="9">
        <v>-0.82747613073955861</v>
      </c>
      <c r="H396" s="8" t="s">
        <v>10</v>
      </c>
      <c r="I396" s="2" t="s">
        <v>10</v>
      </c>
      <c r="J396" s="2" t="s">
        <v>10</v>
      </c>
      <c r="K396" s="2" t="s">
        <v>10</v>
      </c>
      <c r="L396" s="2" t="s">
        <v>10</v>
      </c>
      <c r="M396" s="10">
        <f>0.5+0.5+0.5</f>
        <v>1.5</v>
      </c>
      <c r="N396" s="2" t="s">
        <v>111</v>
      </c>
      <c r="O396" s="2" t="s">
        <v>10</v>
      </c>
    </row>
    <row r="397" spans="1:15" x14ac:dyDescent="0.3">
      <c r="A397" s="2" t="s">
        <v>50</v>
      </c>
      <c r="B397" s="2" t="s">
        <v>14</v>
      </c>
      <c r="C397" s="2" t="s">
        <v>4</v>
      </c>
      <c r="D397" s="7">
        <v>44298</v>
      </c>
      <c r="E397" s="2">
        <v>0</v>
      </c>
      <c r="F397" s="2">
        <v>50.202666666666673</v>
      </c>
      <c r="G397" s="9">
        <v>-0.15930096674811423</v>
      </c>
      <c r="H397" s="8" t="s">
        <v>10</v>
      </c>
      <c r="I397" s="2" t="s">
        <v>10</v>
      </c>
      <c r="J397" s="2" t="s">
        <v>10</v>
      </c>
      <c r="K397" s="2" t="s">
        <v>10</v>
      </c>
      <c r="L397" s="2" t="s">
        <v>10</v>
      </c>
      <c r="M397" s="10">
        <f>1+0.75+0.5+1.25+0.25+1+0.5+1+0.75+1+1+0.5+0.25+5+2</f>
        <v>16.75</v>
      </c>
      <c r="N397" s="2" t="s">
        <v>111</v>
      </c>
      <c r="O397" s="2" t="s">
        <v>10</v>
      </c>
    </row>
    <row r="398" spans="1:15" x14ac:dyDescent="0.3">
      <c r="A398" s="2" t="s">
        <v>50</v>
      </c>
      <c r="B398" s="2" t="s">
        <v>15</v>
      </c>
      <c r="C398" s="2" t="s">
        <v>5</v>
      </c>
      <c r="D398" s="7">
        <v>44298</v>
      </c>
      <c r="E398" s="2">
        <v>0</v>
      </c>
      <c r="F398" s="2">
        <v>54.333333333333336</v>
      </c>
      <c r="G398" s="9">
        <v>-9.3251533742331194E-2</v>
      </c>
      <c r="H398" s="8" t="s">
        <v>10</v>
      </c>
      <c r="I398" s="2" t="s">
        <v>10</v>
      </c>
      <c r="J398" s="2" t="s">
        <v>10</v>
      </c>
      <c r="K398" s="2" t="s">
        <v>10</v>
      </c>
      <c r="L398" s="2" t="s">
        <v>10</v>
      </c>
      <c r="M398" s="10">
        <f>0.5+0.75+0.25+0.75+0.5+0.25+0.25</f>
        <v>3.25</v>
      </c>
      <c r="N398" s="2" t="s">
        <v>111</v>
      </c>
      <c r="O398" s="2" t="s">
        <v>10</v>
      </c>
    </row>
    <row r="399" spans="1:15" x14ac:dyDescent="0.3">
      <c r="A399" s="2" t="s">
        <v>50</v>
      </c>
      <c r="B399" s="2" t="s">
        <v>16</v>
      </c>
      <c r="C399" s="2" t="s">
        <v>4</v>
      </c>
      <c r="D399" s="7">
        <v>44298</v>
      </c>
      <c r="E399" s="2">
        <v>0</v>
      </c>
      <c r="F399" s="2">
        <v>51.518966666666671</v>
      </c>
      <c r="G399" s="9">
        <v>-0.27719952975247297</v>
      </c>
      <c r="H399" s="8" t="s">
        <v>10</v>
      </c>
      <c r="I399" s="2" t="s">
        <v>10</v>
      </c>
      <c r="J399" s="2" t="s">
        <v>10</v>
      </c>
      <c r="K399" s="2" t="s">
        <v>10</v>
      </c>
      <c r="L399" s="2" t="s">
        <v>10</v>
      </c>
      <c r="M399" s="10">
        <f>1.5+1.25+1.25+1+1.5+1.25+1+1+1.5+0.5+0.5+0.5+1.75+1.5+0.5+1+0.5+1.25+1+1.5+0.75+0.5+0.25</f>
        <v>23.25</v>
      </c>
      <c r="N399" s="4" t="s">
        <v>111</v>
      </c>
      <c r="O399" s="2" t="s">
        <v>10</v>
      </c>
    </row>
    <row r="400" spans="1:15" x14ac:dyDescent="0.3">
      <c r="A400" s="2" t="s">
        <v>50</v>
      </c>
      <c r="B400" s="2" t="s">
        <v>17</v>
      </c>
      <c r="C400" s="2" t="s">
        <v>5</v>
      </c>
      <c r="D400" s="7">
        <v>44298</v>
      </c>
      <c r="E400" s="2">
        <v>0</v>
      </c>
      <c r="F400" s="2">
        <v>57.199999999999996</v>
      </c>
      <c r="G400" s="9">
        <v>-6.2937062937062915E-2</v>
      </c>
      <c r="H400" s="8" t="s">
        <v>10</v>
      </c>
      <c r="I400" s="2" t="s">
        <v>10</v>
      </c>
      <c r="J400" s="2" t="s">
        <v>10</v>
      </c>
      <c r="K400" s="2" t="s">
        <v>10</v>
      </c>
      <c r="L400" s="2" t="s">
        <v>10</v>
      </c>
      <c r="M400" s="10">
        <f>0.25+0.25+0.5+0.25+0.5+0.5+1.25+0.5+0.5+0.75+0.5+0.25</f>
        <v>6</v>
      </c>
      <c r="N400" s="2" t="s">
        <v>111</v>
      </c>
      <c r="O400" s="2" t="s">
        <v>10</v>
      </c>
    </row>
    <row r="401" spans="1:15" x14ac:dyDescent="0.3">
      <c r="A401" s="2" t="s">
        <v>50</v>
      </c>
      <c r="B401" s="2" t="s">
        <v>18</v>
      </c>
      <c r="C401" s="2" t="s">
        <v>4</v>
      </c>
      <c r="D401" s="7">
        <v>44298</v>
      </c>
      <c r="E401" s="2">
        <v>1</v>
      </c>
      <c r="F401" s="2" t="s">
        <v>10</v>
      </c>
      <c r="G401" s="9" t="s">
        <v>10</v>
      </c>
      <c r="H401" s="8" t="s">
        <v>10</v>
      </c>
      <c r="I401" s="2" t="s">
        <v>10</v>
      </c>
      <c r="J401" s="2" t="s">
        <v>10</v>
      </c>
      <c r="K401" s="2" t="s">
        <v>10</v>
      </c>
      <c r="L401" s="2" t="s">
        <v>10</v>
      </c>
      <c r="M401" s="2" t="s">
        <v>10</v>
      </c>
      <c r="N401" s="2" t="s">
        <v>10</v>
      </c>
      <c r="O401" s="2" t="s">
        <v>10</v>
      </c>
    </row>
    <row r="402" spans="1:15" x14ac:dyDescent="0.3">
      <c r="A402" s="2" t="s">
        <v>50</v>
      </c>
      <c r="B402" s="2" t="s">
        <v>19</v>
      </c>
      <c r="C402" s="2" t="s">
        <v>5</v>
      </c>
      <c r="D402" s="7">
        <v>44298</v>
      </c>
      <c r="E402" s="2">
        <v>1</v>
      </c>
      <c r="F402" s="2" t="s">
        <v>10</v>
      </c>
      <c r="G402" s="9" t="s">
        <v>10</v>
      </c>
      <c r="H402" s="8" t="s">
        <v>10</v>
      </c>
      <c r="I402" s="2" t="s">
        <v>10</v>
      </c>
      <c r="J402" s="2" t="s">
        <v>10</v>
      </c>
      <c r="K402" s="2" t="s">
        <v>10</v>
      </c>
      <c r="L402" s="2" t="s">
        <v>10</v>
      </c>
      <c r="M402" s="2" t="s">
        <v>10</v>
      </c>
      <c r="N402" s="2" t="s">
        <v>10</v>
      </c>
      <c r="O402" s="2" t="s">
        <v>10</v>
      </c>
    </row>
    <row r="403" spans="1:15" x14ac:dyDescent="0.3">
      <c r="A403" s="2" t="s">
        <v>51</v>
      </c>
      <c r="B403" s="2" t="s">
        <v>20</v>
      </c>
      <c r="C403" s="2" t="s">
        <v>4</v>
      </c>
      <c r="D403" s="7">
        <v>44298</v>
      </c>
      <c r="E403" s="2">
        <v>0</v>
      </c>
      <c r="F403" s="2">
        <v>63.600233333333335</v>
      </c>
      <c r="G403" s="9">
        <v>6.2896519771677983E-2</v>
      </c>
      <c r="H403" s="8" t="s">
        <v>10</v>
      </c>
      <c r="I403" s="2" t="s">
        <v>10</v>
      </c>
      <c r="J403" s="2" t="s">
        <v>10</v>
      </c>
      <c r="K403" s="2" t="s">
        <v>10</v>
      </c>
      <c r="L403" s="2" t="s">
        <v>10</v>
      </c>
      <c r="M403" s="10">
        <f>0.25+0.25+0.5+0.5+1+1+1+1+2+1+0.5+1+0.5+1+1+1+0.5+1+1.5+2+0.5+0.75+0.75+1.75+0.5+0.5+0.5+0.5</f>
        <v>24.25</v>
      </c>
      <c r="N403" s="2" t="s">
        <v>111</v>
      </c>
      <c r="O403" s="2" t="s">
        <v>10</v>
      </c>
    </row>
    <row r="404" spans="1:15" x14ac:dyDescent="0.3">
      <c r="A404" s="2" t="s">
        <v>51</v>
      </c>
      <c r="B404" s="2" t="s">
        <v>21</v>
      </c>
      <c r="C404" s="2" t="s">
        <v>4</v>
      </c>
      <c r="D404" s="7">
        <v>44298</v>
      </c>
      <c r="E404" s="2">
        <v>0</v>
      </c>
      <c r="F404" s="2">
        <v>52.093566666666675</v>
      </c>
      <c r="G404" s="9">
        <v>-0.11338124285340401</v>
      </c>
      <c r="H404" s="8" t="s">
        <v>10</v>
      </c>
      <c r="I404" s="2" t="s">
        <v>10</v>
      </c>
      <c r="J404" s="2" t="s">
        <v>10</v>
      </c>
      <c r="K404" s="2" t="s">
        <v>10</v>
      </c>
      <c r="L404" s="2" t="s">
        <v>10</v>
      </c>
      <c r="M404" s="10">
        <f>1+1+8+0.5+0.75+0.75+0.5+1+1+0.75</f>
        <v>15.25</v>
      </c>
      <c r="N404" s="2" t="s">
        <v>111</v>
      </c>
      <c r="O404" s="2" t="s">
        <v>10</v>
      </c>
    </row>
    <row r="405" spans="1:15" x14ac:dyDescent="0.3">
      <c r="A405" s="2" t="s">
        <v>51</v>
      </c>
      <c r="B405" s="2" t="s">
        <v>22</v>
      </c>
      <c r="C405" s="2" t="s">
        <v>5</v>
      </c>
      <c r="D405" s="7">
        <v>44298</v>
      </c>
      <c r="E405" s="2">
        <v>0</v>
      </c>
      <c r="F405" s="2">
        <v>61.333333333333336</v>
      </c>
      <c r="G405" s="9">
        <v>-0.11521739130434794</v>
      </c>
      <c r="H405" s="8" t="s">
        <v>10</v>
      </c>
      <c r="I405" s="2" t="s">
        <v>10</v>
      </c>
      <c r="J405" s="2" t="s">
        <v>10</v>
      </c>
      <c r="K405" s="2" t="s">
        <v>10</v>
      </c>
      <c r="L405" s="2" t="s">
        <v>10</v>
      </c>
      <c r="M405" s="10">
        <f>0.25+0.25+0.25+0.5+1+0.75+0.5+0.5+0.5+0.5+1.5+1.5+0.25+0.25+0.5+0.25+0.25</f>
        <v>9.5</v>
      </c>
      <c r="N405" s="2" t="s">
        <v>111</v>
      </c>
      <c r="O405" s="2" t="s">
        <v>10</v>
      </c>
    </row>
    <row r="406" spans="1:15" x14ac:dyDescent="0.3">
      <c r="A406" s="2" t="s">
        <v>51</v>
      </c>
      <c r="B406" s="2" t="s">
        <v>23</v>
      </c>
      <c r="C406" s="2" t="s">
        <v>4</v>
      </c>
      <c r="D406" s="7">
        <v>44298</v>
      </c>
      <c r="E406" s="2">
        <v>0</v>
      </c>
      <c r="F406" s="2">
        <v>47.363199999999999</v>
      </c>
      <c r="G406" s="9">
        <v>3.4457131274913122E-3</v>
      </c>
      <c r="H406" s="8" t="s">
        <v>10</v>
      </c>
      <c r="I406" s="2" t="s">
        <v>10</v>
      </c>
      <c r="J406" s="2" t="s">
        <v>10</v>
      </c>
      <c r="K406" s="2" t="s">
        <v>10</v>
      </c>
      <c r="L406" s="2" t="s">
        <v>10</v>
      </c>
      <c r="M406" s="10">
        <f>0.5+0.5+0.25+0.5+0.5+0.75+0.5+0.5+0.75+0.75+0.5+0.5</f>
        <v>6.5</v>
      </c>
      <c r="N406" s="2" t="s">
        <v>111</v>
      </c>
      <c r="O406" s="2" t="s">
        <v>10</v>
      </c>
    </row>
    <row r="407" spans="1:15" x14ac:dyDescent="0.3">
      <c r="A407" s="2" t="s">
        <v>51</v>
      </c>
      <c r="B407" s="2" t="s">
        <v>24</v>
      </c>
      <c r="C407" s="2" t="s">
        <v>5</v>
      </c>
      <c r="D407" s="7">
        <v>44298</v>
      </c>
      <c r="E407" s="2">
        <v>0</v>
      </c>
      <c r="F407" s="2">
        <v>68.799999999999983</v>
      </c>
      <c r="G407" s="9">
        <v>-0.168604651162791</v>
      </c>
      <c r="H407" s="8" t="s">
        <v>10</v>
      </c>
      <c r="I407" s="2" t="s">
        <v>10</v>
      </c>
      <c r="J407" s="2" t="s">
        <v>10</v>
      </c>
      <c r="K407" s="2" t="s">
        <v>10</v>
      </c>
      <c r="L407" s="2" t="s">
        <v>10</v>
      </c>
      <c r="M407" s="10">
        <f>1+0.75+0.75+0.75+0.25+0.5+0.5+0.5+0.5+0.5+0.5+0.75+0.25+0.25+0.5+0.5+0.5+0.25+0.5+0.25+0.5+0.5+0.25+0.75+0.5+0.5</f>
        <v>13.25</v>
      </c>
      <c r="N407" s="2" t="s">
        <v>111</v>
      </c>
      <c r="O407" s="2" t="s">
        <v>10</v>
      </c>
    </row>
    <row r="408" spans="1:15" x14ac:dyDescent="0.3">
      <c r="A408" s="2" t="s">
        <v>51</v>
      </c>
      <c r="B408" s="2" t="s">
        <v>25</v>
      </c>
      <c r="C408" s="2" t="s">
        <v>4</v>
      </c>
      <c r="D408" s="7">
        <v>44298</v>
      </c>
      <c r="E408" s="2">
        <v>1</v>
      </c>
      <c r="F408" s="2" t="s">
        <v>10</v>
      </c>
      <c r="G408" s="9" t="s">
        <v>10</v>
      </c>
      <c r="H408" s="8" t="s">
        <v>10</v>
      </c>
      <c r="I408" s="2" t="s">
        <v>10</v>
      </c>
      <c r="J408" s="2" t="s">
        <v>10</v>
      </c>
      <c r="K408" s="2" t="s">
        <v>10</v>
      </c>
      <c r="L408" s="2" t="s">
        <v>10</v>
      </c>
      <c r="M408" s="2" t="s">
        <v>10</v>
      </c>
      <c r="N408" s="2" t="s">
        <v>10</v>
      </c>
      <c r="O408" s="2" t="s">
        <v>10</v>
      </c>
    </row>
    <row r="409" spans="1:15" x14ac:dyDescent="0.3">
      <c r="A409" s="2" t="s">
        <v>52</v>
      </c>
      <c r="B409" s="2" t="s">
        <v>26</v>
      </c>
      <c r="C409" s="2" t="s">
        <v>4</v>
      </c>
      <c r="D409" s="7">
        <v>44298</v>
      </c>
      <c r="E409" s="2">
        <v>0</v>
      </c>
      <c r="F409" s="2">
        <v>37.377233333333329</v>
      </c>
      <c r="G409" s="9">
        <v>-0.34306355829796598</v>
      </c>
      <c r="H409" s="8" t="s">
        <v>10</v>
      </c>
      <c r="I409" s="2" t="s">
        <v>10</v>
      </c>
      <c r="J409" s="2" t="s">
        <v>10</v>
      </c>
      <c r="K409" s="2" t="s">
        <v>10</v>
      </c>
      <c r="L409" s="2" t="s">
        <v>10</v>
      </c>
      <c r="M409" s="2">
        <v>2.5</v>
      </c>
      <c r="N409" s="10" t="s">
        <v>111</v>
      </c>
      <c r="O409" s="2" t="s">
        <v>10</v>
      </c>
    </row>
    <row r="410" spans="1:15" x14ac:dyDescent="0.3">
      <c r="A410" s="2" t="s">
        <v>52</v>
      </c>
      <c r="B410" s="2" t="s">
        <v>27</v>
      </c>
      <c r="C410" s="2" t="s">
        <v>5</v>
      </c>
      <c r="D410" s="7">
        <v>44298</v>
      </c>
      <c r="E410" s="2">
        <v>0</v>
      </c>
      <c r="F410" s="2">
        <v>53.93333333333333</v>
      </c>
      <c r="G410" s="9">
        <v>-8.6526576019778645E-3</v>
      </c>
      <c r="H410" s="8" t="s">
        <v>10</v>
      </c>
      <c r="I410" s="2" t="s">
        <v>10</v>
      </c>
      <c r="J410" s="2" t="s">
        <v>10</v>
      </c>
      <c r="K410" s="2" t="s">
        <v>10</v>
      </c>
      <c r="L410" s="2" t="s">
        <v>10</v>
      </c>
      <c r="M410" s="2">
        <v>0.75</v>
      </c>
      <c r="N410" s="10" t="s">
        <v>111</v>
      </c>
      <c r="O410" s="2" t="s">
        <v>10</v>
      </c>
    </row>
    <row r="411" spans="1:15" x14ac:dyDescent="0.3">
      <c r="A411" s="2" t="s">
        <v>52</v>
      </c>
      <c r="B411" s="2" t="s">
        <v>28</v>
      </c>
      <c r="C411" s="2" t="s">
        <v>5</v>
      </c>
      <c r="D411" s="7">
        <v>44298</v>
      </c>
      <c r="E411" s="2">
        <v>0</v>
      </c>
      <c r="F411" s="2">
        <v>56.9</v>
      </c>
      <c r="G411" s="9">
        <v>-0.35676625659050965</v>
      </c>
      <c r="H411" s="8" t="s">
        <v>10</v>
      </c>
      <c r="I411" s="2" t="s">
        <v>10</v>
      </c>
      <c r="J411" s="2" t="s">
        <v>10</v>
      </c>
      <c r="K411" s="2" t="s">
        <v>10</v>
      </c>
      <c r="L411" s="2" t="s">
        <v>10</v>
      </c>
      <c r="M411" s="2">
        <v>11.75</v>
      </c>
      <c r="N411" s="10" t="s">
        <v>111</v>
      </c>
      <c r="O411" s="2" t="s">
        <v>10</v>
      </c>
    </row>
    <row r="412" spans="1:15" x14ac:dyDescent="0.3">
      <c r="A412" s="2" t="s">
        <v>53</v>
      </c>
      <c r="B412" s="2" t="s">
        <v>29</v>
      </c>
      <c r="C412" s="2" t="s">
        <v>4</v>
      </c>
      <c r="D412" s="7">
        <v>44298</v>
      </c>
      <c r="E412" s="2">
        <v>0</v>
      </c>
      <c r="F412" s="2">
        <v>42.8506</v>
      </c>
      <c r="G412" s="9">
        <v>-0.31620094001017507</v>
      </c>
      <c r="H412" s="8" t="s">
        <v>10</v>
      </c>
      <c r="I412" s="2" t="s">
        <v>10</v>
      </c>
      <c r="J412" s="2" t="s">
        <v>10</v>
      </c>
      <c r="K412" s="2" t="s">
        <v>10</v>
      </c>
      <c r="L412" s="2" t="s">
        <v>10</v>
      </c>
      <c r="M412" s="10">
        <f>3+2+1.75+1.75+1.25+1+1.25+0.5+1+0.5+0.25+0.5+0.5+0.75+0.25+0.25</f>
        <v>16.5</v>
      </c>
      <c r="N412" s="2" t="s">
        <v>111</v>
      </c>
      <c r="O412" s="2" t="s">
        <v>10</v>
      </c>
    </row>
    <row r="413" spans="1:15" x14ac:dyDescent="0.3">
      <c r="A413" s="2" t="s">
        <v>53</v>
      </c>
      <c r="B413" s="2" t="s">
        <v>30</v>
      </c>
      <c r="C413" s="2" t="s">
        <v>5</v>
      </c>
      <c r="D413" s="7">
        <v>44298</v>
      </c>
      <c r="E413" s="2">
        <v>0</v>
      </c>
      <c r="F413" s="2">
        <v>49.333333333333336</v>
      </c>
      <c r="G413" s="9">
        <v>-0.18783783783783758</v>
      </c>
      <c r="H413" s="8" t="s">
        <v>10</v>
      </c>
      <c r="I413" s="2" t="s">
        <v>10</v>
      </c>
      <c r="J413" s="2" t="s">
        <v>10</v>
      </c>
      <c r="K413" s="2" t="s">
        <v>10</v>
      </c>
      <c r="L413" s="2" t="s">
        <v>10</v>
      </c>
      <c r="M413" s="10">
        <f>0.5+0.25+0.25+0.25+0.25+0.5+0.25+0.5+0.5+1.5+1+0.75+1+0.25+0.75+1+1+1.75+1.5+0.5</f>
        <v>14.25</v>
      </c>
      <c r="N413" s="2" t="s">
        <v>111</v>
      </c>
      <c r="O413" s="2" t="s">
        <v>10</v>
      </c>
    </row>
    <row r="414" spans="1:15" x14ac:dyDescent="0.3">
      <c r="A414" s="2" t="s">
        <v>53</v>
      </c>
      <c r="B414" s="2" t="s">
        <v>31</v>
      </c>
      <c r="C414" s="2" t="s">
        <v>4</v>
      </c>
      <c r="D414" s="7">
        <v>44298</v>
      </c>
      <c r="E414" s="2">
        <v>0</v>
      </c>
      <c r="F414" s="2">
        <v>39.108666666666672</v>
      </c>
      <c r="G414" s="9">
        <v>-0.25803317252782842</v>
      </c>
      <c r="H414" s="8" t="s">
        <v>10</v>
      </c>
      <c r="I414" s="2" t="s">
        <v>10</v>
      </c>
      <c r="J414" s="2" t="s">
        <v>10</v>
      </c>
      <c r="K414" s="2" t="s">
        <v>10</v>
      </c>
      <c r="L414" s="2" t="s">
        <v>10</v>
      </c>
      <c r="M414" s="10">
        <f>1+0.25+1+1+1+1.25+0.25+0.75+0.5+1.25+1.75+0.75+0.75+0.75+0.5+0.5+0.25</f>
        <v>13.5</v>
      </c>
      <c r="N414" s="2" t="s">
        <v>111</v>
      </c>
      <c r="O414" s="2" t="s">
        <v>10</v>
      </c>
    </row>
    <row r="415" spans="1:15" x14ac:dyDescent="0.3">
      <c r="A415" s="2" t="s">
        <v>53</v>
      </c>
      <c r="B415" s="2" t="s">
        <v>32</v>
      </c>
      <c r="C415" s="2" t="s">
        <v>5</v>
      </c>
      <c r="D415" s="7">
        <v>44298</v>
      </c>
      <c r="E415" s="2">
        <v>0</v>
      </c>
      <c r="F415" s="2">
        <v>56.06666666666667</v>
      </c>
      <c r="G415" s="9">
        <v>-0.1557669441141496</v>
      </c>
      <c r="H415" s="8" t="s">
        <v>10</v>
      </c>
      <c r="I415" s="2" t="s">
        <v>10</v>
      </c>
      <c r="J415" s="2" t="s">
        <v>10</v>
      </c>
      <c r="K415" s="2" t="s">
        <v>10</v>
      </c>
      <c r="L415" s="2" t="s">
        <v>10</v>
      </c>
      <c r="M415" s="10">
        <f>0.5+0.25+0.75+1+0.75+0.25+0.75+0.25+0.75+0.5+1+1.25+1.25+0.75+1.5+1+0.75+0.75+0.75+0.5+0.75+0.25</f>
        <v>16.25</v>
      </c>
      <c r="N415" s="2" t="s">
        <v>111</v>
      </c>
      <c r="O415" s="2" t="s">
        <v>10</v>
      </c>
    </row>
    <row r="416" spans="1:15" x14ac:dyDescent="0.3">
      <c r="A416" s="2" t="s">
        <v>53</v>
      </c>
      <c r="B416" s="2" t="s">
        <v>33</v>
      </c>
      <c r="C416" s="2" t="s">
        <v>4</v>
      </c>
      <c r="D416" s="7">
        <v>44298</v>
      </c>
      <c r="E416" s="2">
        <v>1</v>
      </c>
      <c r="F416" s="2" t="s">
        <v>10</v>
      </c>
      <c r="G416" s="9" t="s">
        <v>10</v>
      </c>
      <c r="H416" s="8" t="s">
        <v>10</v>
      </c>
      <c r="I416" s="2" t="s">
        <v>10</v>
      </c>
      <c r="J416" s="2" t="s">
        <v>10</v>
      </c>
      <c r="K416" s="2" t="s">
        <v>10</v>
      </c>
      <c r="L416" s="2" t="s">
        <v>10</v>
      </c>
      <c r="M416" s="2" t="s">
        <v>10</v>
      </c>
      <c r="N416" s="2" t="s">
        <v>10</v>
      </c>
      <c r="O416" s="2" t="s">
        <v>10</v>
      </c>
    </row>
    <row r="417" spans="1:15" x14ac:dyDescent="0.3">
      <c r="A417" s="2" t="s">
        <v>53</v>
      </c>
      <c r="B417" s="2" t="s">
        <v>34</v>
      </c>
      <c r="C417" s="2" t="s">
        <v>5</v>
      </c>
      <c r="D417" s="7">
        <v>44298</v>
      </c>
      <c r="E417" s="2">
        <v>0</v>
      </c>
      <c r="F417" s="2">
        <v>46.533333333333339</v>
      </c>
      <c r="G417" s="9">
        <v>-0.138968481375358</v>
      </c>
      <c r="H417" s="8" t="s">
        <v>10</v>
      </c>
      <c r="I417" s="2" t="s">
        <v>10</v>
      </c>
      <c r="J417" s="2" t="s">
        <v>10</v>
      </c>
      <c r="K417" s="2" t="s">
        <v>10</v>
      </c>
      <c r="L417" s="2" t="s">
        <v>10</v>
      </c>
      <c r="M417" s="10">
        <f>0.25+0.25+0.25+0.5+0.5+1+0.5+0.75+0.25+0.25+0.5+0.5+0.75+0.1+0.5+0.25+0.25+0.5+1+0.25+0.25</f>
        <v>9.35</v>
      </c>
      <c r="N417" s="10" t="s">
        <v>111</v>
      </c>
      <c r="O417" s="2" t="s">
        <v>10</v>
      </c>
    </row>
    <row r="418" spans="1:15" x14ac:dyDescent="0.3">
      <c r="A418" s="2" t="s">
        <v>53</v>
      </c>
      <c r="B418" s="2" t="s">
        <v>35</v>
      </c>
      <c r="C418" s="2" t="s">
        <v>5</v>
      </c>
      <c r="D418" s="7">
        <v>44298</v>
      </c>
      <c r="E418" s="2">
        <v>0</v>
      </c>
      <c r="F418" s="2">
        <v>45.699999999999996</v>
      </c>
      <c r="G418" s="9">
        <v>-0.14660831509846828</v>
      </c>
      <c r="H418" s="8" t="s">
        <v>10</v>
      </c>
      <c r="I418" s="2" t="s">
        <v>10</v>
      </c>
      <c r="J418" s="2" t="s">
        <v>10</v>
      </c>
      <c r="K418" s="2" t="s">
        <v>10</v>
      </c>
      <c r="L418" s="2" t="s">
        <v>10</v>
      </c>
      <c r="M418" s="10">
        <f>0.25+0.75+0.5+1.25+0.5+1+0.5+1.25+1+0.5+0.25+0.25+0.5+0.25+0.25+0.25+0.25</f>
        <v>9.5</v>
      </c>
      <c r="N418" s="2" t="s">
        <v>111</v>
      </c>
      <c r="O418" s="2" t="s">
        <v>10</v>
      </c>
    </row>
    <row r="419" spans="1:15" x14ac:dyDescent="0.3">
      <c r="A419" s="2" t="s">
        <v>53</v>
      </c>
      <c r="B419" s="2" t="s">
        <v>36</v>
      </c>
      <c r="C419" s="2" t="s">
        <v>4</v>
      </c>
      <c r="D419" s="7">
        <v>44298</v>
      </c>
      <c r="E419" s="2">
        <v>0</v>
      </c>
      <c r="F419" s="2">
        <v>47.562866666666672</v>
      </c>
      <c r="G419" s="9">
        <v>-0.2741031869399515</v>
      </c>
      <c r="H419" s="8" t="s">
        <v>10</v>
      </c>
      <c r="I419" s="2" t="s">
        <v>10</v>
      </c>
      <c r="J419" s="2" t="s">
        <v>10</v>
      </c>
      <c r="K419" s="2" t="s">
        <v>10</v>
      </c>
      <c r="L419" s="2" t="s">
        <v>10</v>
      </c>
      <c r="M419" s="10">
        <f>3.5+1+0.5+0.25+0.25+0.5+1+1+1+1+1.25+1.25+1+1+1</f>
        <v>15.5</v>
      </c>
      <c r="N419" s="2" t="s">
        <v>111</v>
      </c>
      <c r="O419" s="2" t="s">
        <v>10</v>
      </c>
    </row>
    <row r="420" spans="1:15" x14ac:dyDescent="0.3">
      <c r="A420" s="2" t="s">
        <v>54</v>
      </c>
      <c r="B420" s="2" t="s">
        <v>37</v>
      </c>
      <c r="C420" s="2" t="s">
        <v>5</v>
      </c>
      <c r="D420" s="7">
        <v>44298</v>
      </c>
      <c r="E420" s="2">
        <v>0</v>
      </c>
      <c r="F420" s="2">
        <v>65.933333333333323</v>
      </c>
      <c r="G420" s="9">
        <v>-0.32861476238624876</v>
      </c>
      <c r="H420" s="8" t="s">
        <v>10</v>
      </c>
      <c r="I420" s="2" t="s">
        <v>10</v>
      </c>
      <c r="J420" s="2" t="s">
        <v>10</v>
      </c>
      <c r="K420" s="2" t="s">
        <v>10</v>
      </c>
      <c r="L420" s="2" t="s">
        <v>10</v>
      </c>
      <c r="M420" s="10">
        <f>1.75+0.25+0.5+1.75+1+0.5+1.5+0.75+0.5+0.5+0.75+1+0.75</f>
        <v>11.5</v>
      </c>
      <c r="N420" s="10" t="s">
        <v>111</v>
      </c>
      <c r="O420" s="2" t="s">
        <v>10</v>
      </c>
    </row>
    <row r="421" spans="1:15" x14ac:dyDescent="0.3">
      <c r="A421" s="2" t="s">
        <v>54</v>
      </c>
      <c r="B421" s="2" t="s">
        <v>38</v>
      </c>
      <c r="C421" s="2" t="s">
        <v>4</v>
      </c>
      <c r="D421" s="7">
        <v>44298</v>
      </c>
      <c r="E421" s="2">
        <v>0</v>
      </c>
      <c r="F421" s="2">
        <v>60.317799999999998</v>
      </c>
      <c r="G421" s="9">
        <v>-0.28320329985510084</v>
      </c>
      <c r="H421" s="8" t="s">
        <v>10</v>
      </c>
      <c r="I421" s="2" t="s">
        <v>10</v>
      </c>
      <c r="J421" s="2" t="s">
        <v>10</v>
      </c>
      <c r="K421" s="2" t="s">
        <v>10</v>
      </c>
      <c r="L421" s="2" t="s">
        <v>10</v>
      </c>
      <c r="M421" s="10">
        <f>0.25+0.5+0.75+0.25+0.25+0.5+0.25+0.25+0.25+0.25+0.25+0.25+0.5+0.25+0.5+0.25+0.5+0.25+0.5</f>
        <v>6.75</v>
      </c>
      <c r="N421" s="2" t="s">
        <v>111</v>
      </c>
      <c r="O421" s="2" t="s">
        <v>10</v>
      </c>
    </row>
    <row r="422" spans="1:15" x14ac:dyDescent="0.3">
      <c r="A422" s="2" t="s">
        <v>54</v>
      </c>
      <c r="B422" s="2" t="s">
        <v>39</v>
      </c>
      <c r="C422" s="2" t="s">
        <v>5</v>
      </c>
      <c r="D422" s="7">
        <v>44298</v>
      </c>
      <c r="E422" s="2">
        <v>0</v>
      </c>
      <c r="F422" s="2">
        <v>59.466666666666661</v>
      </c>
      <c r="G422" s="9">
        <v>-0.15695067264573992</v>
      </c>
      <c r="H422" s="8" t="s">
        <v>10</v>
      </c>
      <c r="I422" s="2" t="s">
        <v>10</v>
      </c>
      <c r="J422" s="2" t="s">
        <v>10</v>
      </c>
      <c r="K422" s="2" t="s">
        <v>10</v>
      </c>
      <c r="L422" s="2" t="s">
        <v>10</v>
      </c>
      <c r="M422" s="10">
        <v>0</v>
      </c>
      <c r="N422" s="2" t="s">
        <v>112</v>
      </c>
      <c r="O422" s="2" t="s">
        <v>10</v>
      </c>
    </row>
    <row r="423" spans="1:15" x14ac:dyDescent="0.3">
      <c r="A423" s="2" t="s">
        <v>55</v>
      </c>
      <c r="B423" s="2" t="s">
        <v>40</v>
      </c>
      <c r="C423" s="2" t="s">
        <v>4</v>
      </c>
      <c r="D423" s="7">
        <v>44298</v>
      </c>
      <c r="E423" s="2">
        <v>0</v>
      </c>
      <c r="F423" s="2">
        <v>51.126433333333331</v>
      </c>
      <c r="G423" s="9">
        <v>-0.40436160551000055</v>
      </c>
      <c r="H423" s="8" t="s">
        <v>10</v>
      </c>
      <c r="I423" s="2" t="s">
        <v>10</v>
      </c>
      <c r="J423" s="2" t="s">
        <v>10</v>
      </c>
      <c r="K423" s="2" t="s">
        <v>10</v>
      </c>
      <c r="L423" s="2" t="s">
        <v>10</v>
      </c>
      <c r="M423" s="10">
        <f>3.25+2.5+1.5+4+0.75+1+0.75+2.5+0.75+0.5+1</f>
        <v>18.5</v>
      </c>
      <c r="N423" s="2" t="s">
        <v>111</v>
      </c>
      <c r="O423" s="2" t="s">
        <v>10</v>
      </c>
    </row>
    <row r="424" spans="1:15" x14ac:dyDescent="0.3">
      <c r="A424" s="2" t="s">
        <v>55</v>
      </c>
      <c r="B424" s="2" t="s">
        <v>41</v>
      </c>
      <c r="C424" s="2" t="s">
        <v>5</v>
      </c>
      <c r="D424" s="7">
        <v>44298</v>
      </c>
      <c r="E424" s="2">
        <v>0</v>
      </c>
      <c r="F424" s="2">
        <v>50.533333333333339</v>
      </c>
      <c r="G424" s="9">
        <v>-0.24274406332453813</v>
      </c>
      <c r="H424" s="8" t="s">
        <v>10</v>
      </c>
      <c r="I424" s="2" t="s">
        <v>10</v>
      </c>
      <c r="J424" s="2" t="s">
        <v>10</v>
      </c>
      <c r="K424" s="2" t="s">
        <v>10</v>
      </c>
      <c r="L424" s="2" t="s">
        <v>10</v>
      </c>
      <c r="M424" s="10">
        <f>0.75+0.5+0.5+0.5+1.5+0.75+0.25+0.25+0.25+0.75+0.5+0.5</f>
        <v>7</v>
      </c>
      <c r="N424" s="2" t="s">
        <v>111</v>
      </c>
      <c r="O424" s="2" t="s">
        <v>10</v>
      </c>
    </row>
    <row r="425" spans="1:15" x14ac:dyDescent="0.3">
      <c r="A425" s="2" t="s">
        <v>55</v>
      </c>
      <c r="B425" s="2" t="s">
        <v>42</v>
      </c>
      <c r="C425" s="2" t="s">
        <v>5</v>
      </c>
      <c r="D425" s="7">
        <v>44298</v>
      </c>
      <c r="E425" s="2">
        <v>0</v>
      </c>
      <c r="F425" s="2">
        <v>52.4</v>
      </c>
      <c r="G425" s="9">
        <v>-0.27480916030534353</v>
      </c>
      <c r="H425" s="8" t="s">
        <v>10</v>
      </c>
      <c r="I425" s="2" t="s">
        <v>10</v>
      </c>
      <c r="J425" s="2" t="s">
        <v>10</v>
      </c>
      <c r="K425" s="2" t="s">
        <v>10</v>
      </c>
      <c r="L425" s="2" t="s">
        <v>10</v>
      </c>
      <c r="M425" s="10">
        <f>0.5+1+1.5+0.5+1.5+1.25+0.75+1+0.5+0.75+0.5+0.75+0.75+0.5+0.5+0.75+0.25+0.75+0.75+1+0.5+0.25+0.25+0.75+0.75+0.5+0.75+0.75+0.75</f>
        <v>21</v>
      </c>
      <c r="N425" s="2" t="s">
        <v>111</v>
      </c>
      <c r="O425" s="2" t="s">
        <v>10</v>
      </c>
    </row>
    <row r="426" spans="1:15" x14ac:dyDescent="0.3">
      <c r="A426" s="2" t="s">
        <v>55</v>
      </c>
      <c r="B426" s="2" t="s">
        <v>43</v>
      </c>
      <c r="C426" s="2" t="s">
        <v>4</v>
      </c>
      <c r="D426" s="7">
        <v>44298</v>
      </c>
      <c r="E426" s="2">
        <v>1</v>
      </c>
      <c r="F426" s="2" t="s">
        <v>10</v>
      </c>
      <c r="G426" s="9" t="s">
        <v>10</v>
      </c>
      <c r="H426" s="8" t="s">
        <v>10</v>
      </c>
      <c r="I426" s="2" t="s">
        <v>10</v>
      </c>
      <c r="J426" s="2" t="s">
        <v>10</v>
      </c>
      <c r="K426" s="2" t="s">
        <v>10</v>
      </c>
      <c r="L426" s="2" t="s">
        <v>10</v>
      </c>
      <c r="M426" s="2" t="s">
        <v>10</v>
      </c>
      <c r="N426" s="2" t="s">
        <v>10</v>
      </c>
      <c r="O426" s="2" t="s">
        <v>10</v>
      </c>
    </row>
    <row r="427" spans="1:15" x14ac:dyDescent="0.3">
      <c r="A427" s="2" t="s">
        <v>56</v>
      </c>
      <c r="B427" s="2" t="s">
        <v>44</v>
      </c>
      <c r="C427" s="2" t="s">
        <v>5</v>
      </c>
      <c r="D427" s="7">
        <v>44298</v>
      </c>
      <c r="E427" s="2">
        <v>0</v>
      </c>
      <c r="F427" s="2">
        <v>58.733333333333341</v>
      </c>
      <c r="G427" s="9">
        <v>-0.21225879682179305</v>
      </c>
      <c r="H427" s="8" t="s">
        <v>10</v>
      </c>
      <c r="I427" s="2" t="s">
        <v>10</v>
      </c>
      <c r="J427" s="2" t="s">
        <v>10</v>
      </c>
      <c r="K427" s="2" t="s">
        <v>10</v>
      </c>
      <c r="L427" s="2" t="s">
        <v>10</v>
      </c>
      <c r="M427" s="10">
        <f>1+0.25+0.5+0.75+1+0.5+1.25+1+0.5+0.5+0.5+0.5+0.5+0.25+0.25+0.25+0.25+1+0.25+0.5+0.5+0.25+0.5+0.25+0.25+0.5+1</f>
        <v>14.75</v>
      </c>
      <c r="N427" s="2" t="s">
        <v>111</v>
      </c>
      <c r="O427" s="2" t="s">
        <v>10</v>
      </c>
    </row>
    <row r="428" spans="1:15" x14ac:dyDescent="0.3">
      <c r="A428" s="2" t="s">
        <v>56</v>
      </c>
      <c r="B428" s="2" t="s">
        <v>45</v>
      </c>
      <c r="C428" s="2" t="s">
        <v>4</v>
      </c>
      <c r="D428" s="7">
        <v>44298</v>
      </c>
      <c r="E428" s="2">
        <v>0</v>
      </c>
      <c r="F428" s="2">
        <v>61.732266666666675</v>
      </c>
      <c r="G428" s="9">
        <v>-0.4222707951757263</v>
      </c>
      <c r="H428" s="8" t="s">
        <v>10</v>
      </c>
      <c r="I428" s="2" t="s">
        <v>10</v>
      </c>
      <c r="J428" s="2" t="s">
        <v>10</v>
      </c>
      <c r="K428" s="2" t="s">
        <v>10</v>
      </c>
      <c r="L428" s="2" t="s">
        <v>10</v>
      </c>
      <c r="M428" s="10">
        <f>0.5+2.5+0.75+0.75+0.75+1+1+0.25+0.75+2.5+1.5+1.5+0.75+1+1.25+0.5+1.25+1.5+0.5+0.75+0.75+0.5+0.5+0.75</f>
        <v>23.75</v>
      </c>
      <c r="N428" s="2" t="s">
        <v>111</v>
      </c>
      <c r="O428" s="2" t="s">
        <v>10</v>
      </c>
    </row>
    <row r="429" spans="1:15" x14ac:dyDescent="0.3">
      <c r="A429" s="2" t="s">
        <v>56</v>
      </c>
      <c r="B429" s="2" t="s">
        <v>46</v>
      </c>
      <c r="C429" s="2" t="s">
        <v>4</v>
      </c>
      <c r="D429" s="7">
        <v>44298</v>
      </c>
      <c r="E429" s="2">
        <v>0</v>
      </c>
      <c r="F429" s="2">
        <v>50.400200000000005</v>
      </c>
      <c r="G429" s="9">
        <v>-0.17459851349796218</v>
      </c>
      <c r="H429" s="8" t="s">
        <v>10</v>
      </c>
      <c r="I429" s="2" t="s">
        <v>10</v>
      </c>
      <c r="J429" s="2" t="s">
        <v>10</v>
      </c>
      <c r="K429" s="2" t="s">
        <v>10</v>
      </c>
      <c r="L429" s="2" t="s">
        <v>10</v>
      </c>
      <c r="M429" s="10">
        <f>0.5+1+0.5+0.25+1+1+0.25+0.5+0.5+1+0.5+1+1+0.5+1+1+0.5+0.5+0.5+1+0.5+0.5+0.5</f>
        <v>15.5</v>
      </c>
      <c r="N429" s="2" t="s">
        <v>111</v>
      </c>
      <c r="O429" s="2" t="s">
        <v>10</v>
      </c>
    </row>
    <row r="430" spans="1:15" x14ac:dyDescent="0.3">
      <c r="A430" s="2" t="s">
        <v>56</v>
      </c>
      <c r="B430" s="2" t="s">
        <v>47</v>
      </c>
      <c r="C430" s="2" t="s">
        <v>5</v>
      </c>
      <c r="D430" s="7">
        <v>44298</v>
      </c>
      <c r="E430" s="2">
        <v>0</v>
      </c>
      <c r="F430" s="2">
        <v>54.06666666666667</v>
      </c>
      <c r="G430" s="9">
        <v>-6.1652281134402021E-2</v>
      </c>
      <c r="H430" s="8" t="s">
        <v>10</v>
      </c>
      <c r="I430" s="2" t="s">
        <v>10</v>
      </c>
      <c r="J430" s="2" t="s">
        <v>10</v>
      </c>
      <c r="K430" s="2" t="s">
        <v>10</v>
      </c>
      <c r="L430" s="2" t="s">
        <v>10</v>
      </c>
      <c r="M430" s="10">
        <f>0.75+1+2+0.75+0.5+1+1.5+0.5+0.5+1+2+0.5+0.5+0.5+0.75+0.5+0.25+0.5</f>
        <v>15</v>
      </c>
      <c r="N430" s="2" t="s">
        <v>111</v>
      </c>
      <c r="O430" s="2" t="s">
        <v>10</v>
      </c>
    </row>
    <row r="431" spans="1:15" x14ac:dyDescent="0.3">
      <c r="A431" s="2" t="s">
        <v>56</v>
      </c>
      <c r="B431" s="2" t="s">
        <v>48</v>
      </c>
      <c r="C431" s="2" t="s">
        <v>4</v>
      </c>
      <c r="D431" s="7">
        <v>44298</v>
      </c>
      <c r="E431" s="2">
        <v>1</v>
      </c>
      <c r="F431" s="2" t="s">
        <v>10</v>
      </c>
      <c r="G431" s="9" t="s">
        <v>10</v>
      </c>
      <c r="H431" s="8" t="s">
        <v>10</v>
      </c>
      <c r="I431" s="2" t="s">
        <v>10</v>
      </c>
      <c r="J431" s="2" t="s">
        <v>10</v>
      </c>
      <c r="K431" s="2" t="s">
        <v>10</v>
      </c>
      <c r="L431" s="2" t="s">
        <v>10</v>
      </c>
      <c r="M431" s="2" t="s">
        <v>10</v>
      </c>
      <c r="N431" s="2" t="s">
        <v>10</v>
      </c>
      <c r="O431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8655-F3EE-4E1C-81D1-53F3255D4D67}">
  <dimension ref="A1:E87"/>
  <sheetViews>
    <sheetView workbookViewId="0">
      <selection activeCell="C1" sqref="C1"/>
    </sheetView>
  </sheetViews>
  <sheetFormatPr defaultRowHeight="14.4" x14ac:dyDescent="0.3"/>
  <sheetData>
    <row r="1" spans="1:5" x14ac:dyDescent="0.3">
      <c r="A1" s="1" t="s">
        <v>0</v>
      </c>
      <c r="B1" s="1" t="s">
        <v>103</v>
      </c>
      <c r="C1" s="1" t="s">
        <v>2</v>
      </c>
      <c r="D1" s="1" t="s">
        <v>121</v>
      </c>
      <c r="E1" s="1" t="s">
        <v>122</v>
      </c>
    </row>
    <row r="2" spans="1:5" x14ac:dyDescent="0.3">
      <c r="A2" s="1" t="s">
        <v>49</v>
      </c>
      <c r="B2" s="1" t="s">
        <v>3</v>
      </c>
      <c r="C2" s="1" t="s">
        <v>4</v>
      </c>
      <c r="D2" s="1">
        <v>1</v>
      </c>
      <c r="E2" s="1" t="s">
        <v>10</v>
      </c>
    </row>
    <row r="3" spans="1:5" x14ac:dyDescent="0.3">
      <c r="A3" s="1" t="s">
        <v>49</v>
      </c>
      <c r="B3" s="1" t="s">
        <v>119</v>
      </c>
      <c r="C3" s="1" t="s">
        <v>5</v>
      </c>
      <c r="D3" s="1">
        <v>8</v>
      </c>
      <c r="E3" s="1" t="s">
        <v>10</v>
      </c>
    </row>
    <row r="4" spans="1:5" x14ac:dyDescent="0.3">
      <c r="A4" s="1" t="s">
        <v>49</v>
      </c>
      <c r="B4" s="1" t="s">
        <v>7</v>
      </c>
      <c r="C4" s="1" t="s">
        <v>4</v>
      </c>
      <c r="D4" s="1">
        <v>9</v>
      </c>
      <c r="E4" s="1" t="s">
        <v>10</v>
      </c>
    </row>
    <row r="5" spans="1:5" x14ac:dyDescent="0.3">
      <c r="A5" s="1" t="s">
        <v>49</v>
      </c>
      <c r="B5" s="1" t="s">
        <v>8</v>
      </c>
      <c r="C5" s="1" t="s">
        <v>5</v>
      </c>
      <c r="D5" s="1">
        <v>2</v>
      </c>
      <c r="E5" s="1" t="s">
        <v>10</v>
      </c>
    </row>
    <row r="6" spans="1:5" x14ac:dyDescent="0.3">
      <c r="A6" s="1" t="s">
        <v>50</v>
      </c>
      <c r="B6" s="1" t="s">
        <v>9</v>
      </c>
      <c r="C6" s="1" t="s">
        <v>4</v>
      </c>
      <c r="D6" s="1">
        <v>33</v>
      </c>
      <c r="E6" s="1">
        <v>4</v>
      </c>
    </row>
    <row r="7" spans="1:5" x14ac:dyDescent="0.3">
      <c r="A7" s="1" t="s">
        <v>50</v>
      </c>
      <c r="B7" s="1" t="s">
        <v>11</v>
      </c>
      <c r="C7" s="1" t="s">
        <v>5</v>
      </c>
      <c r="D7" s="1" t="s">
        <v>10</v>
      </c>
      <c r="E7" s="1">
        <v>1</v>
      </c>
    </row>
    <row r="8" spans="1:5" x14ac:dyDescent="0.3">
      <c r="A8" s="1" t="s">
        <v>50</v>
      </c>
      <c r="B8" s="1" t="s">
        <v>12</v>
      </c>
      <c r="C8" s="1" t="s">
        <v>5</v>
      </c>
      <c r="D8" s="1">
        <v>7</v>
      </c>
      <c r="E8" s="1">
        <v>0</v>
      </c>
    </row>
    <row r="9" spans="1:5" x14ac:dyDescent="0.3">
      <c r="A9" s="3" t="s">
        <v>50</v>
      </c>
      <c r="B9" s="1" t="s">
        <v>13</v>
      </c>
      <c r="C9" s="1" t="s">
        <v>4</v>
      </c>
      <c r="D9" s="1">
        <v>1</v>
      </c>
      <c r="E9" s="1">
        <v>0</v>
      </c>
    </row>
    <row r="10" spans="1:5" x14ac:dyDescent="0.3">
      <c r="A10" s="3" t="s">
        <v>50</v>
      </c>
      <c r="B10" s="1" t="s">
        <v>14</v>
      </c>
      <c r="C10" s="1" t="s">
        <v>4</v>
      </c>
      <c r="D10" s="1">
        <v>7</v>
      </c>
      <c r="E10" s="1">
        <v>3</v>
      </c>
    </row>
    <row r="11" spans="1:5" x14ac:dyDescent="0.3">
      <c r="A11" s="3" t="s">
        <v>50</v>
      </c>
      <c r="B11" s="1" t="s">
        <v>15</v>
      </c>
      <c r="C11" s="1" t="s">
        <v>5</v>
      </c>
      <c r="D11" s="1">
        <v>1</v>
      </c>
      <c r="E11" s="1">
        <v>0</v>
      </c>
    </row>
    <row r="12" spans="1:5" x14ac:dyDescent="0.3">
      <c r="A12" s="3" t="s">
        <v>50</v>
      </c>
      <c r="B12" s="1" t="s">
        <v>16</v>
      </c>
      <c r="C12" s="1" t="s">
        <v>4</v>
      </c>
      <c r="D12" s="1">
        <v>4</v>
      </c>
      <c r="E12" s="1" t="s">
        <v>10</v>
      </c>
    </row>
    <row r="13" spans="1:5" x14ac:dyDescent="0.3">
      <c r="A13" s="3" t="s">
        <v>50</v>
      </c>
      <c r="B13" s="1" t="s">
        <v>17</v>
      </c>
      <c r="C13" s="1" t="s">
        <v>5</v>
      </c>
      <c r="D13" s="1">
        <v>14</v>
      </c>
      <c r="E13" s="1">
        <v>3</v>
      </c>
    </row>
    <row r="14" spans="1:5" x14ac:dyDescent="0.3">
      <c r="A14" s="3" t="s">
        <v>50</v>
      </c>
      <c r="B14" s="1" t="s">
        <v>18</v>
      </c>
      <c r="C14" s="1" t="s">
        <v>4</v>
      </c>
      <c r="D14" s="1">
        <v>28</v>
      </c>
      <c r="E14" s="1" t="s">
        <v>10</v>
      </c>
    </row>
    <row r="15" spans="1:5" x14ac:dyDescent="0.3">
      <c r="A15" s="3" t="s">
        <v>50</v>
      </c>
      <c r="B15" s="1" t="s">
        <v>19</v>
      </c>
      <c r="C15" s="1" t="s">
        <v>5</v>
      </c>
      <c r="D15" s="1">
        <v>15</v>
      </c>
      <c r="E15" s="1" t="s">
        <v>10</v>
      </c>
    </row>
    <row r="16" spans="1:5" x14ac:dyDescent="0.3">
      <c r="A16" s="1" t="s">
        <v>51</v>
      </c>
      <c r="B16" s="1" t="s">
        <v>20</v>
      </c>
      <c r="C16" s="1" t="s">
        <v>4</v>
      </c>
      <c r="D16" s="1">
        <v>5</v>
      </c>
      <c r="E16" s="1" t="s">
        <v>10</v>
      </c>
    </row>
    <row r="17" spans="1:5" x14ac:dyDescent="0.3">
      <c r="A17" s="1" t="s">
        <v>51</v>
      </c>
      <c r="B17" s="1" t="s">
        <v>21</v>
      </c>
      <c r="C17" s="1" t="s">
        <v>4</v>
      </c>
      <c r="D17" s="1">
        <v>3</v>
      </c>
      <c r="E17" s="1" t="s">
        <v>10</v>
      </c>
    </row>
    <row r="18" spans="1:5" x14ac:dyDescent="0.3">
      <c r="A18" s="1" t="s">
        <v>51</v>
      </c>
      <c r="B18" s="1" t="s">
        <v>22</v>
      </c>
      <c r="C18" s="1" t="s">
        <v>5</v>
      </c>
      <c r="D18" s="1">
        <v>6</v>
      </c>
      <c r="E18" s="1" t="s">
        <v>10</v>
      </c>
    </row>
    <row r="19" spans="1:5" x14ac:dyDescent="0.3">
      <c r="A19" s="1" t="s">
        <v>51</v>
      </c>
      <c r="B19" s="1" t="s">
        <v>120</v>
      </c>
      <c r="C19" s="1" t="s">
        <v>4</v>
      </c>
      <c r="D19" s="1">
        <v>6</v>
      </c>
      <c r="E19" s="1" t="s">
        <v>10</v>
      </c>
    </row>
    <row r="20" spans="1:5" x14ac:dyDescent="0.3">
      <c r="A20" s="1" t="s">
        <v>51</v>
      </c>
      <c r="B20" s="1" t="s">
        <v>24</v>
      </c>
      <c r="C20" s="1" t="s">
        <v>5</v>
      </c>
      <c r="D20" s="1">
        <v>5</v>
      </c>
      <c r="E20" s="1" t="s">
        <v>10</v>
      </c>
    </row>
    <row r="21" spans="1:5" x14ac:dyDescent="0.3">
      <c r="A21" s="1" t="s">
        <v>51</v>
      </c>
      <c r="B21" s="1" t="s">
        <v>25</v>
      </c>
      <c r="C21" s="1" t="s">
        <v>4</v>
      </c>
      <c r="D21" s="1">
        <v>16</v>
      </c>
      <c r="E21" s="1" t="s">
        <v>10</v>
      </c>
    </row>
    <row r="22" spans="1:5" x14ac:dyDescent="0.3">
      <c r="A22" s="1" t="s">
        <v>52</v>
      </c>
      <c r="B22" s="1" t="s">
        <v>26</v>
      </c>
      <c r="C22" s="1" t="s">
        <v>4</v>
      </c>
      <c r="D22" s="1" t="s">
        <v>10</v>
      </c>
      <c r="E22" s="1" t="s">
        <v>10</v>
      </c>
    </row>
    <row r="23" spans="1:5" x14ac:dyDescent="0.3">
      <c r="A23" s="1" t="s">
        <v>52</v>
      </c>
      <c r="B23" s="1" t="s">
        <v>27</v>
      </c>
      <c r="C23" s="1" t="s">
        <v>5</v>
      </c>
      <c r="D23" s="1" t="s">
        <v>10</v>
      </c>
      <c r="E23" s="1" t="s">
        <v>10</v>
      </c>
    </row>
    <row r="24" spans="1:5" x14ac:dyDescent="0.3">
      <c r="A24" s="1" t="s">
        <v>52</v>
      </c>
      <c r="B24" s="1" t="s">
        <v>28</v>
      </c>
      <c r="C24" s="1" t="s">
        <v>5</v>
      </c>
      <c r="D24" s="1" t="s">
        <v>10</v>
      </c>
      <c r="E24" s="1" t="s">
        <v>10</v>
      </c>
    </row>
    <row r="25" spans="1:5" x14ac:dyDescent="0.3">
      <c r="A25" s="1" t="s">
        <v>53</v>
      </c>
      <c r="B25" s="1" t="s">
        <v>29</v>
      </c>
      <c r="C25" s="1" t="s">
        <v>4</v>
      </c>
      <c r="D25" s="1">
        <v>50</v>
      </c>
      <c r="E25" s="1" t="s">
        <v>10</v>
      </c>
    </row>
    <row r="26" spans="1:5" x14ac:dyDescent="0.3">
      <c r="A26" s="1" t="s">
        <v>53</v>
      </c>
      <c r="B26" s="1" t="s">
        <v>30</v>
      </c>
      <c r="C26" s="1" t="s">
        <v>5</v>
      </c>
      <c r="D26" s="1">
        <v>3</v>
      </c>
      <c r="E26" s="1" t="s">
        <v>10</v>
      </c>
    </row>
    <row r="27" spans="1:5" x14ac:dyDescent="0.3">
      <c r="A27" s="1" t="s">
        <v>53</v>
      </c>
      <c r="B27" s="1" t="s">
        <v>31</v>
      </c>
      <c r="C27" s="1" t="s">
        <v>4</v>
      </c>
      <c r="D27" s="1">
        <v>26</v>
      </c>
      <c r="E27" s="1">
        <v>2</v>
      </c>
    </row>
    <row r="28" spans="1:5" x14ac:dyDescent="0.3">
      <c r="A28" s="1" t="s">
        <v>53</v>
      </c>
      <c r="B28" s="1" t="s">
        <v>32</v>
      </c>
      <c r="C28" s="1" t="s">
        <v>5</v>
      </c>
      <c r="D28" s="1">
        <v>9</v>
      </c>
      <c r="E28" s="1" t="s">
        <v>10</v>
      </c>
    </row>
    <row r="29" spans="1:5" x14ac:dyDescent="0.3">
      <c r="A29" s="1" t="s">
        <v>53</v>
      </c>
      <c r="B29" s="1" t="s">
        <v>33</v>
      </c>
      <c r="C29" s="1" t="s">
        <v>4</v>
      </c>
      <c r="D29" s="1">
        <v>8</v>
      </c>
      <c r="E29" s="1" t="s">
        <v>10</v>
      </c>
    </row>
    <row r="30" spans="1:5" x14ac:dyDescent="0.3">
      <c r="A30" s="1" t="s">
        <v>53</v>
      </c>
      <c r="B30" s="1" t="s">
        <v>34</v>
      </c>
      <c r="C30" s="1" t="s">
        <v>5</v>
      </c>
      <c r="D30" s="1">
        <v>10</v>
      </c>
      <c r="E30" s="1" t="s">
        <v>10</v>
      </c>
    </row>
    <row r="31" spans="1:5" x14ac:dyDescent="0.3">
      <c r="A31" s="1" t="s">
        <v>53</v>
      </c>
      <c r="B31" s="1" t="s">
        <v>35</v>
      </c>
      <c r="C31" s="1" t="s">
        <v>5</v>
      </c>
      <c r="D31" s="1">
        <v>1</v>
      </c>
      <c r="E31" s="1" t="s">
        <v>10</v>
      </c>
    </row>
    <row r="32" spans="1:5" x14ac:dyDescent="0.3">
      <c r="A32" s="1" t="s">
        <v>53</v>
      </c>
      <c r="B32" s="1" t="s">
        <v>36</v>
      </c>
      <c r="C32" s="1" t="s">
        <v>4</v>
      </c>
      <c r="D32" s="1">
        <v>7</v>
      </c>
      <c r="E32" s="1" t="s">
        <v>10</v>
      </c>
    </row>
    <row r="33" spans="1:5" x14ac:dyDescent="0.3">
      <c r="A33" s="1" t="s">
        <v>54</v>
      </c>
      <c r="B33" s="1" t="s">
        <v>37</v>
      </c>
      <c r="C33" s="1" t="s">
        <v>5</v>
      </c>
      <c r="D33" s="1">
        <v>11</v>
      </c>
      <c r="E33" s="1">
        <v>6</v>
      </c>
    </row>
    <row r="34" spans="1:5" x14ac:dyDescent="0.3">
      <c r="A34" s="1" t="s">
        <v>54</v>
      </c>
      <c r="B34" s="1" t="s">
        <v>38</v>
      </c>
      <c r="C34" s="1" t="s">
        <v>4</v>
      </c>
      <c r="D34" s="1">
        <v>3</v>
      </c>
      <c r="E34" s="1">
        <v>0</v>
      </c>
    </row>
    <row r="35" spans="1:5" x14ac:dyDescent="0.3">
      <c r="A35" s="1" t="s">
        <v>54</v>
      </c>
      <c r="B35" s="1" t="s">
        <v>39</v>
      </c>
      <c r="C35" s="1" t="s">
        <v>5</v>
      </c>
      <c r="D35" s="1">
        <v>3</v>
      </c>
      <c r="E35" s="1">
        <v>0</v>
      </c>
    </row>
    <row r="36" spans="1:5" x14ac:dyDescent="0.3">
      <c r="A36" s="1" t="s">
        <v>55</v>
      </c>
      <c r="B36" s="1" t="s">
        <v>40</v>
      </c>
      <c r="C36" s="1" t="s">
        <v>4</v>
      </c>
      <c r="D36" s="1" t="s">
        <v>10</v>
      </c>
      <c r="E36" s="1" t="s">
        <v>10</v>
      </c>
    </row>
    <row r="37" spans="1:5" x14ac:dyDescent="0.3">
      <c r="A37" s="1" t="s">
        <v>55</v>
      </c>
      <c r="B37" s="1" t="s">
        <v>41</v>
      </c>
      <c r="C37" s="1" t="s">
        <v>5</v>
      </c>
      <c r="D37" s="1" t="s">
        <v>10</v>
      </c>
      <c r="E37" s="1" t="s">
        <v>10</v>
      </c>
    </row>
    <row r="38" spans="1:5" x14ac:dyDescent="0.3">
      <c r="A38" s="1" t="s">
        <v>55</v>
      </c>
      <c r="B38" s="1" t="s">
        <v>42</v>
      </c>
      <c r="C38" s="1" t="s">
        <v>5</v>
      </c>
      <c r="D38" s="1" t="s">
        <v>10</v>
      </c>
      <c r="E38" s="1" t="s">
        <v>10</v>
      </c>
    </row>
    <row r="39" spans="1:5" x14ac:dyDescent="0.3">
      <c r="A39" s="1" t="s">
        <v>55</v>
      </c>
      <c r="B39" s="1" t="s">
        <v>43</v>
      </c>
      <c r="C39" s="1" t="s">
        <v>4</v>
      </c>
      <c r="D39" s="1" t="s">
        <v>10</v>
      </c>
      <c r="E39" s="1" t="s">
        <v>10</v>
      </c>
    </row>
    <row r="40" spans="1:5" x14ac:dyDescent="0.3">
      <c r="A40" s="1" t="s">
        <v>56</v>
      </c>
      <c r="B40" s="1" t="s">
        <v>44</v>
      </c>
      <c r="C40" s="1" t="s">
        <v>5</v>
      </c>
      <c r="D40" s="1">
        <v>13</v>
      </c>
      <c r="E40" s="1">
        <v>0</v>
      </c>
    </row>
    <row r="41" spans="1:5" x14ac:dyDescent="0.3">
      <c r="A41" s="1" t="s">
        <v>56</v>
      </c>
      <c r="B41" s="1" t="s">
        <v>45</v>
      </c>
      <c r="C41" s="1" t="s">
        <v>4</v>
      </c>
      <c r="D41" s="1">
        <v>11</v>
      </c>
      <c r="E41" s="1">
        <v>1</v>
      </c>
    </row>
    <row r="42" spans="1:5" x14ac:dyDescent="0.3">
      <c r="A42" s="1" t="s">
        <v>56</v>
      </c>
      <c r="B42" s="1" t="s">
        <v>46</v>
      </c>
      <c r="C42" s="1" t="s">
        <v>4</v>
      </c>
      <c r="D42" s="1">
        <v>14</v>
      </c>
      <c r="E42" s="1">
        <v>2</v>
      </c>
    </row>
    <row r="43" spans="1:5" x14ac:dyDescent="0.3">
      <c r="A43" s="1" t="s">
        <v>56</v>
      </c>
      <c r="B43" s="1" t="s">
        <v>47</v>
      </c>
      <c r="C43" s="1" t="s">
        <v>5</v>
      </c>
      <c r="D43" s="1">
        <v>25</v>
      </c>
      <c r="E43" s="1" t="s">
        <v>10</v>
      </c>
    </row>
    <row r="44" spans="1:5" x14ac:dyDescent="0.3">
      <c r="A44" s="1" t="s">
        <v>56</v>
      </c>
      <c r="B44" s="1" t="s">
        <v>48</v>
      </c>
      <c r="C44" s="1" t="s">
        <v>4</v>
      </c>
      <c r="D44" s="1">
        <v>4</v>
      </c>
      <c r="E44" s="1">
        <v>11</v>
      </c>
    </row>
    <row r="45" spans="1:5" x14ac:dyDescent="0.3">
      <c r="D45" s="1"/>
      <c r="E45" s="1"/>
    </row>
    <row r="46" spans="1:5" x14ac:dyDescent="0.3">
      <c r="D46" s="1"/>
      <c r="E46" s="1"/>
    </row>
    <row r="47" spans="1:5" x14ac:dyDescent="0.3">
      <c r="D47" s="1"/>
      <c r="E47" s="1"/>
    </row>
    <row r="48" spans="1:5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  <row r="51" spans="4:5" x14ac:dyDescent="0.3">
      <c r="D51" s="1"/>
      <c r="E51" s="1"/>
    </row>
    <row r="52" spans="4:5" x14ac:dyDescent="0.3">
      <c r="D52" s="1"/>
      <c r="E52" s="1"/>
    </row>
    <row r="53" spans="4:5" x14ac:dyDescent="0.3">
      <c r="D53" s="1"/>
      <c r="E53" s="1"/>
    </row>
    <row r="54" spans="4:5" x14ac:dyDescent="0.3">
      <c r="D54" s="1"/>
      <c r="E54" s="1"/>
    </row>
    <row r="55" spans="4:5" x14ac:dyDescent="0.3">
      <c r="D55" s="1"/>
      <c r="E55" s="1"/>
    </row>
    <row r="56" spans="4:5" x14ac:dyDescent="0.3">
      <c r="D56" s="1"/>
      <c r="E56" s="1"/>
    </row>
    <row r="57" spans="4:5" x14ac:dyDescent="0.3">
      <c r="D57" s="1"/>
      <c r="E57" s="1"/>
    </row>
    <row r="58" spans="4:5" x14ac:dyDescent="0.3">
      <c r="D58" s="1"/>
      <c r="E58" s="1"/>
    </row>
    <row r="59" spans="4:5" x14ac:dyDescent="0.3">
      <c r="D59" s="1"/>
      <c r="E59" s="1"/>
    </row>
    <row r="60" spans="4:5" x14ac:dyDescent="0.3">
      <c r="D60" s="1"/>
      <c r="E60" s="1"/>
    </row>
    <row r="61" spans="4:5" x14ac:dyDescent="0.3">
      <c r="D61" s="1"/>
      <c r="E61" s="1"/>
    </row>
    <row r="62" spans="4:5" x14ac:dyDescent="0.3">
      <c r="D62" s="1"/>
      <c r="E62" s="1"/>
    </row>
    <row r="63" spans="4:5" x14ac:dyDescent="0.3">
      <c r="D63" s="1"/>
      <c r="E63" s="1"/>
    </row>
    <row r="64" spans="4:5" x14ac:dyDescent="0.3">
      <c r="D64" s="1"/>
      <c r="E64" s="1"/>
    </row>
    <row r="65" spans="4:5" x14ac:dyDescent="0.3">
      <c r="D65" s="1"/>
      <c r="E65" s="1"/>
    </row>
    <row r="66" spans="4:5" x14ac:dyDescent="0.3">
      <c r="D66" s="1"/>
      <c r="E66" s="1"/>
    </row>
    <row r="67" spans="4:5" x14ac:dyDescent="0.3">
      <c r="D67" s="1"/>
      <c r="E67" s="1"/>
    </row>
    <row r="68" spans="4:5" x14ac:dyDescent="0.3">
      <c r="D68" s="1"/>
      <c r="E68" s="1"/>
    </row>
    <row r="69" spans="4:5" x14ac:dyDescent="0.3">
      <c r="D69" s="1"/>
      <c r="E69" s="1"/>
    </row>
    <row r="70" spans="4:5" x14ac:dyDescent="0.3">
      <c r="D70" s="1"/>
      <c r="E70" s="1"/>
    </row>
    <row r="71" spans="4:5" x14ac:dyDescent="0.3">
      <c r="D71" s="1"/>
      <c r="E71" s="1"/>
    </row>
    <row r="72" spans="4:5" x14ac:dyDescent="0.3">
      <c r="D72" s="1"/>
      <c r="E72" s="1"/>
    </row>
    <row r="73" spans="4:5" x14ac:dyDescent="0.3">
      <c r="D73" s="1"/>
      <c r="E73" s="1"/>
    </row>
    <row r="74" spans="4:5" x14ac:dyDescent="0.3">
      <c r="D74" s="1"/>
      <c r="E74" s="1"/>
    </row>
    <row r="75" spans="4:5" x14ac:dyDescent="0.3">
      <c r="D75" s="1"/>
      <c r="E75" s="1"/>
    </row>
    <row r="76" spans="4:5" x14ac:dyDescent="0.3">
      <c r="D76" s="1"/>
      <c r="E76" s="1"/>
    </row>
    <row r="77" spans="4:5" x14ac:dyDescent="0.3">
      <c r="D77" s="1"/>
      <c r="E77" s="1"/>
    </row>
    <row r="78" spans="4:5" x14ac:dyDescent="0.3">
      <c r="D78" s="1"/>
      <c r="E78" s="1"/>
    </row>
    <row r="79" spans="4:5" x14ac:dyDescent="0.3">
      <c r="D79" s="1"/>
      <c r="E79" s="1"/>
    </row>
    <row r="80" spans="4:5" x14ac:dyDescent="0.3">
      <c r="D80" s="1"/>
      <c r="E80" s="1"/>
    </row>
    <row r="81" spans="4:5" x14ac:dyDescent="0.3">
      <c r="D81" s="1"/>
      <c r="E81" s="1"/>
    </row>
    <row r="82" spans="4:5" x14ac:dyDescent="0.3">
      <c r="D82" s="1"/>
      <c r="E82" s="1"/>
    </row>
    <row r="83" spans="4:5" x14ac:dyDescent="0.3">
      <c r="D83" s="1"/>
      <c r="E83" s="1"/>
    </row>
    <row r="84" spans="4:5" x14ac:dyDescent="0.3">
      <c r="D84" s="1"/>
      <c r="E84" s="1"/>
    </row>
    <row r="85" spans="4:5" x14ac:dyDescent="0.3">
      <c r="D85" s="1"/>
      <c r="E85" s="1"/>
    </row>
    <row r="86" spans="4:5" x14ac:dyDescent="0.3">
      <c r="D86" s="1"/>
      <c r="E86" s="1"/>
    </row>
    <row r="87" spans="4:5" x14ac:dyDescent="0.3">
      <c r="D87" s="1"/>
      <c r="E8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B55D-19C7-4DA6-81A3-845FC6419596}">
  <dimension ref="A1:G946"/>
  <sheetViews>
    <sheetView workbookViewId="0">
      <selection activeCell="G1" sqref="G1"/>
    </sheetView>
  </sheetViews>
  <sheetFormatPr defaultRowHeight="14.4" x14ac:dyDescent="0.3"/>
  <sheetData>
    <row r="1" spans="1:7" x14ac:dyDescent="0.3">
      <c r="A1" s="3" t="s">
        <v>2</v>
      </c>
      <c r="B1" s="3" t="s">
        <v>103</v>
      </c>
      <c r="C1" s="3" t="s">
        <v>123</v>
      </c>
      <c r="D1" s="3" t="s">
        <v>124</v>
      </c>
      <c r="E1" s="3" t="s">
        <v>0</v>
      </c>
      <c r="F1" s="3" t="s">
        <v>130</v>
      </c>
      <c r="G1" s="3" t="s">
        <v>125</v>
      </c>
    </row>
    <row r="2" spans="1:7" x14ac:dyDescent="0.3">
      <c r="A2" s="3" t="s">
        <v>5</v>
      </c>
      <c r="B2" s="3" t="s">
        <v>39</v>
      </c>
      <c r="C2" s="3">
        <v>29.90909091</v>
      </c>
      <c r="D2" s="3">
        <v>1</v>
      </c>
      <c r="E2" s="3" t="s">
        <v>54</v>
      </c>
      <c r="F2" s="3" t="s">
        <v>126</v>
      </c>
      <c r="G2" s="3">
        <v>4.0056789249999998</v>
      </c>
    </row>
    <row r="3" spans="1:7" x14ac:dyDescent="0.3">
      <c r="A3" s="3" t="s">
        <v>5</v>
      </c>
      <c r="B3" s="3" t="s">
        <v>39</v>
      </c>
      <c r="C3" s="3">
        <v>30.65</v>
      </c>
      <c r="D3" s="3">
        <v>2</v>
      </c>
      <c r="E3" s="3" t="s">
        <v>54</v>
      </c>
      <c r="F3" s="3" t="s">
        <v>126</v>
      </c>
      <c r="G3" s="3">
        <v>4.0190820780000003</v>
      </c>
    </row>
    <row r="4" spans="1:7" x14ac:dyDescent="0.3">
      <c r="A4" s="3" t="s">
        <v>5</v>
      </c>
      <c r="B4" s="3" t="s">
        <v>39</v>
      </c>
      <c r="C4" s="3">
        <v>28.910256409999999</v>
      </c>
      <c r="D4" s="3">
        <v>3</v>
      </c>
      <c r="E4" s="3" t="s">
        <v>54</v>
      </c>
      <c r="F4" s="3" t="s">
        <v>126</v>
      </c>
      <c r="G4" s="3">
        <v>3.987320746</v>
      </c>
    </row>
    <row r="5" spans="1:7" x14ac:dyDescent="0.3">
      <c r="A5" s="3" t="s">
        <v>5</v>
      </c>
      <c r="B5" s="3" t="s">
        <v>39</v>
      </c>
      <c r="C5" s="3">
        <v>28.475000000000001</v>
      </c>
      <c r="D5" s="3">
        <v>4</v>
      </c>
      <c r="E5" s="3" t="s">
        <v>54</v>
      </c>
      <c r="F5" s="3" t="s">
        <v>126</v>
      </c>
      <c r="G5" s="3">
        <v>3.979214255</v>
      </c>
    </row>
    <row r="6" spans="1:7" x14ac:dyDescent="0.3">
      <c r="A6" s="3" t="s">
        <v>5</v>
      </c>
      <c r="B6" s="3" t="s">
        <v>39</v>
      </c>
      <c r="C6" s="3">
        <v>28.35</v>
      </c>
      <c r="D6" s="3">
        <v>5</v>
      </c>
      <c r="E6" s="3" t="s">
        <v>54</v>
      </c>
      <c r="F6" s="3" t="s">
        <v>126</v>
      </c>
      <c r="G6" s="3">
        <v>3.976873978</v>
      </c>
    </row>
    <row r="7" spans="1:7" x14ac:dyDescent="0.3">
      <c r="A7" s="3" t="s">
        <v>5</v>
      </c>
      <c r="B7" s="3" t="s">
        <v>39</v>
      </c>
      <c r="C7" s="3">
        <v>30.38461538</v>
      </c>
      <c r="D7" s="3">
        <v>6</v>
      </c>
      <c r="E7" s="3" t="s">
        <v>54</v>
      </c>
      <c r="F7" s="3" t="s">
        <v>126</v>
      </c>
      <c r="G7" s="3">
        <v>4.0143018540000002</v>
      </c>
    </row>
    <row r="8" spans="1:7" x14ac:dyDescent="0.3">
      <c r="A8" s="3" t="s">
        <v>5</v>
      </c>
      <c r="B8" s="3" t="s">
        <v>39</v>
      </c>
      <c r="C8" s="3">
        <v>26.587499999999999</v>
      </c>
      <c r="D8" s="3">
        <v>7</v>
      </c>
      <c r="E8" s="3" t="s">
        <v>54</v>
      </c>
      <c r="F8" s="3" t="s">
        <v>126</v>
      </c>
      <c r="G8" s="3">
        <v>3.9432793949999998</v>
      </c>
    </row>
    <row r="9" spans="1:7" x14ac:dyDescent="0.3">
      <c r="A9" s="3" t="s">
        <v>5</v>
      </c>
      <c r="B9" s="3" t="s">
        <v>39</v>
      </c>
      <c r="C9" s="3">
        <v>15.948717950000001</v>
      </c>
      <c r="D9" s="3">
        <v>8</v>
      </c>
      <c r="E9" s="3" t="s">
        <v>54</v>
      </c>
      <c r="F9" s="3" t="s">
        <v>126</v>
      </c>
      <c r="G9" s="3">
        <v>3.7123205019999999</v>
      </c>
    </row>
    <row r="10" spans="1:7" x14ac:dyDescent="0.3">
      <c r="A10" s="3" t="s">
        <v>5</v>
      </c>
      <c r="B10" s="3" t="s">
        <v>39</v>
      </c>
      <c r="C10" s="3">
        <v>27.637499999999999</v>
      </c>
      <c r="D10" s="3">
        <v>9</v>
      </c>
      <c r="E10" s="3" t="s">
        <v>54</v>
      </c>
      <c r="F10" s="3" t="s">
        <v>126</v>
      </c>
      <c r="G10" s="3">
        <v>3.9634287929999998</v>
      </c>
    </row>
    <row r="11" spans="1:7" x14ac:dyDescent="0.3">
      <c r="A11" s="3" t="s">
        <v>5</v>
      </c>
      <c r="B11" s="3" t="s">
        <v>39</v>
      </c>
      <c r="C11" s="3">
        <v>31.256410259999999</v>
      </c>
      <c r="D11" s="3">
        <v>10</v>
      </c>
      <c r="E11" s="3" t="s">
        <v>54</v>
      </c>
      <c r="F11" s="3" t="s">
        <v>126</v>
      </c>
      <c r="G11" s="3">
        <v>4.0299199950000002</v>
      </c>
    </row>
    <row r="12" spans="1:7" x14ac:dyDescent="0.3">
      <c r="A12" s="3" t="s">
        <v>5</v>
      </c>
      <c r="B12" s="3" t="s">
        <v>39</v>
      </c>
      <c r="C12" s="3">
        <v>32.4375</v>
      </c>
      <c r="D12" s="3">
        <v>11</v>
      </c>
      <c r="E12" s="3" t="s">
        <v>54</v>
      </c>
      <c r="F12" s="3" t="s">
        <v>126</v>
      </c>
      <c r="G12" s="3">
        <v>4.0506973999999998</v>
      </c>
    </row>
    <row r="13" spans="1:7" x14ac:dyDescent="0.3">
      <c r="A13" s="3" t="s">
        <v>5</v>
      </c>
      <c r="B13" s="3" t="s">
        <v>39</v>
      </c>
      <c r="C13" s="3">
        <v>33.61538462</v>
      </c>
      <c r="D13" s="3">
        <v>12</v>
      </c>
      <c r="E13" s="3" t="s">
        <v>54</v>
      </c>
      <c r="F13" s="3" t="s">
        <v>126</v>
      </c>
      <c r="G13" s="3">
        <v>4.0709971979999997</v>
      </c>
    </row>
    <row r="14" spans="1:7" x14ac:dyDescent="0.3">
      <c r="A14" s="3" t="s">
        <v>5</v>
      </c>
      <c r="B14" s="3" t="s">
        <v>39</v>
      </c>
      <c r="C14" s="3">
        <v>34.450000000000003</v>
      </c>
      <c r="D14" s="3">
        <v>13</v>
      </c>
      <c r="E14" s="3" t="s">
        <v>54</v>
      </c>
      <c r="F14" s="3" t="s">
        <v>126</v>
      </c>
      <c r="G14" s="3">
        <v>4.0851356230000002</v>
      </c>
    </row>
    <row r="15" spans="1:7" x14ac:dyDescent="0.3">
      <c r="A15" s="3" t="s">
        <v>5</v>
      </c>
      <c r="B15" s="3" t="s">
        <v>39</v>
      </c>
      <c r="C15" s="3">
        <v>32.65625</v>
      </c>
      <c r="D15" s="3">
        <v>14</v>
      </c>
      <c r="E15" s="3" t="s">
        <v>54</v>
      </c>
      <c r="F15" s="3" t="s">
        <v>126</v>
      </c>
      <c r="G15" s="3">
        <v>4.0544986539999996</v>
      </c>
    </row>
    <row r="16" spans="1:7" x14ac:dyDescent="0.3">
      <c r="A16" s="3" t="s">
        <v>5</v>
      </c>
      <c r="B16" s="3" t="s">
        <v>39</v>
      </c>
      <c r="C16" s="3">
        <v>25.1</v>
      </c>
      <c r="D16" s="3">
        <v>47</v>
      </c>
      <c r="E16" s="3" t="s">
        <v>54</v>
      </c>
      <c r="F16" s="3" t="s">
        <v>126</v>
      </c>
      <c r="G16" s="3">
        <v>3.9140210080000002</v>
      </c>
    </row>
    <row r="17" spans="1:7" x14ac:dyDescent="0.3">
      <c r="A17" s="3" t="s">
        <v>5</v>
      </c>
      <c r="B17" s="3" t="s">
        <v>39</v>
      </c>
      <c r="C17" s="3">
        <v>30.175000000000001</v>
      </c>
      <c r="D17" s="3">
        <v>48</v>
      </c>
      <c r="E17" s="3" t="s">
        <v>54</v>
      </c>
      <c r="F17" s="3" t="s">
        <v>126</v>
      </c>
      <c r="G17" s="3">
        <v>4.0105099519999996</v>
      </c>
    </row>
    <row r="18" spans="1:7" x14ac:dyDescent="0.3">
      <c r="A18" s="3" t="s">
        <v>5</v>
      </c>
      <c r="B18" s="3" t="s">
        <v>39</v>
      </c>
      <c r="C18" s="3">
        <v>27.371794869999999</v>
      </c>
      <c r="D18" s="3">
        <v>49</v>
      </c>
      <c r="E18" s="3" t="s">
        <v>54</v>
      </c>
      <c r="F18" s="3" t="s">
        <v>126</v>
      </c>
      <c r="G18" s="3">
        <v>3.958368181</v>
      </c>
    </row>
    <row r="19" spans="1:7" x14ac:dyDescent="0.3">
      <c r="A19" s="3" t="s">
        <v>5</v>
      </c>
      <c r="B19" s="3" t="s">
        <v>39</v>
      </c>
      <c r="C19" s="3">
        <v>31.5</v>
      </c>
      <c r="D19" s="3">
        <v>50</v>
      </c>
      <c r="E19" s="3" t="s">
        <v>54</v>
      </c>
      <c r="F19" s="3" t="s">
        <v>126</v>
      </c>
      <c r="G19" s="3">
        <v>4.034240638</v>
      </c>
    </row>
    <row r="20" spans="1:7" x14ac:dyDescent="0.3">
      <c r="A20" s="3" t="s">
        <v>5</v>
      </c>
      <c r="B20" s="3" t="s">
        <v>39</v>
      </c>
      <c r="C20" s="3">
        <v>31.564102559999998</v>
      </c>
      <c r="D20" s="3">
        <v>51</v>
      </c>
      <c r="E20" s="3" t="s">
        <v>54</v>
      </c>
      <c r="F20" s="3" t="s">
        <v>126</v>
      </c>
      <c r="G20" s="3">
        <v>4.0353745539999997</v>
      </c>
    </row>
    <row r="21" spans="1:7" x14ac:dyDescent="0.3">
      <c r="A21" s="3" t="s">
        <v>5</v>
      </c>
      <c r="B21" s="3" t="s">
        <v>39</v>
      </c>
      <c r="C21" s="3">
        <v>29.1875</v>
      </c>
      <c r="D21" s="3">
        <v>52</v>
      </c>
      <c r="E21" s="3" t="s">
        <v>54</v>
      </c>
      <c r="F21" s="3" t="s">
        <v>126</v>
      </c>
      <c r="G21" s="3">
        <v>3.9924502550000001</v>
      </c>
    </row>
    <row r="22" spans="1:7" x14ac:dyDescent="0.3">
      <c r="A22" s="3" t="s">
        <v>5</v>
      </c>
      <c r="B22" s="3" t="s">
        <v>39</v>
      </c>
      <c r="C22" s="3">
        <v>29.375</v>
      </c>
      <c r="D22" s="3">
        <v>53</v>
      </c>
      <c r="E22" s="3" t="s">
        <v>54</v>
      </c>
      <c r="F22" s="3" t="s">
        <v>126</v>
      </c>
      <c r="G22" s="3">
        <v>3.9959044889999999</v>
      </c>
    </row>
    <row r="23" spans="1:7" x14ac:dyDescent="0.3">
      <c r="A23" s="3" t="s">
        <v>4</v>
      </c>
      <c r="B23" s="3" t="s">
        <v>21</v>
      </c>
      <c r="C23" s="3">
        <v>6.9090909089999997</v>
      </c>
      <c r="D23" s="3">
        <v>1</v>
      </c>
      <c r="E23" s="3" t="s">
        <v>51</v>
      </c>
      <c r="F23" s="3" t="s">
        <v>126</v>
      </c>
      <c r="G23" s="3">
        <v>3.4628909509999999</v>
      </c>
    </row>
    <row r="24" spans="1:7" x14ac:dyDescent="0.3">
      <c r="A24" s="3" t="s">
        <v>4</v>
      </c>
      <c r="B24" s="3" t="s">
        <v>21</v>
      </c>
      <c r="C24" s="3">
        <v>7.8375000000000004</v>
      </c>
      <c r="D24" s="3">
        <v>2</v>
      </c>
      <c r="E24" s="3" t="s">
        <v>51</v>
      </c>
      <c r="F24" s="3" t="s">
        <v>126</v>
      </c>
      <c r="G24" s="3">
        <v>3.4915711549999999</v>
      </c>
    </row>
    <row r="25" spans="1:7" x14ac:dyDescent="0.3">
      <c r="A25" s="3" t="s">
        <v>4</v>
      </c>
      <c r="B25" s="3" t="s">
        <v>21</v>
      </c>
      <c r="C25" s="3">
        <v>6.9124999999999996</v>
      </c>
      <c r="D25" s="3">
        <v>3</v>
      </c>
      <c r="E25" s="3" t="s">
        <v>51</v>
      </c>
      <c r="F25" s="3" t="s">
        <v>126</v>
      </c>
      <c r="G25" s="3">
        <v>3.4629977830000001</v>
      </c>
    </row>
    <row r="26" spans="1:7" x14ac:dyDescent="0.3">
      <c r="A26" s="3" t="s">
        <v>4</v>
      </c>
      <c r="B26" s="3" t="s">
        <v>21</v>
      </c>
      <c r="C26" s="3">
        <v>5.6666666670000003</v>
      </c>
      <c r="D26" s="3">
        <v>4</v>
      </c>
      <c r="E26" s="3" t="s">
        <v>51</v>
      </c>
      <c r="F26" s="3" t="s">
        <v>126</v>
      </c>
      <c r="G26" s="3">
        <v>3.4231762880000001</v>
      </c>
    </row>
    <row r="27" spans="1:7" x14ac:dyDescent="0.3">
      <c r="A27" s="3" t="s">
        <v>4</v>
      </c>
      <c r="B27" s="3" t="s">
        <v>21</v>
      </c>
      <c r="C27" s="3">
        <v>6.3375000000000004</v>
      </c>
      <c r="D27" s="3">
        <v>5</v>
      </c>
      <c r="E27" s="3" t="s">
        <v>51</v>
      </c>
      <c r="F27" s="3" t="s">
        <v>126</v>
      </c>
      <c r="G27" s="3">
        <v>3.4448154629999999</v>
      </c>
    </row>
    <row r="28" spans="1:7" x14ac:dyDescent="0.3">
      <c r="A28" s="3" t="s">
        <v>4</v>
      </c>
      <c r="B28" s="3" t="s">
        <v>21</v>
      </c>
      <c r="C28" s="3">
        <v>6.2435897440000003</v>
      </c>
      <c r="D28" s="3">
        <v>6</v>
      </c>
      <c r="E28" s="3" t="s">
        <v>51</v>
      </c>
      <c r="F28" s="3" t="s">
        <v>126</v>
      </c>
      <c r="G28" s="3">
        <v>3.4418142270000001</v>
      </c>
    </row>
    <row r="29" spans="1:7" x14ac:dyDescent="0.3">
      <c r="A29" s="3" t="s">
        <v>4</v>
      </c>
      <c r="B29" s="3" t="s">
        <v>21</v>
      </c>
      <c r="C29" s="3">
        <v>3.1375000000000002</v>
      </c>
      <c r="D29" s="3">
        <v>7</v>
      </c>
      <c r="E29" s="3" t="s">
        <v>51</v>
      </c>
      <c r="F29" s="3" t="s">
        <v>126</v>
      </c>
      <c r="G29" s="3">
        <v>3.3371032060000001</v>
      </c>
    </row>
    <row r="30" spans="1:7" x14ac:dyDescent="0.3">
      <c r="A30" s="3" t="s">
        <v>4</v>
      </c>
      <c r="B30" s="3" t="s">
        <v>21</v>
      </c>
      <c r="C30" s="3">
        <v>4.6794871789999997</v>
      </c>
      <c r="D30" s="3">
        <v>8</v>
      </c>
      <c r="E30" s="3" t="s">
        <v>51</v>
      </c>
      <c r="F30" s="3" t="s">
        <v>126</v>
      </c>
      <c r="G30" s="3">
        <v>3.39045614</v>
      </c>
    </row>
    <row r="31" spans="1:7" x14ac:dyDescent="0.3">
      <c r="A31" s="3" t="s">
        <v>4</v>
      </c>
      <c r="B31" s="3" t="s">
        <v>21</v>
      </c>
      <c r="C31" s="3">
        <v>15.45</v>
      </c>
      <c r="D31" s="3">
        <v>9</v>
      </c>
      <c r="E31" s="3" t="s">
        <v>51</v>
      </c>
      <c r="F31" s="3" t="s">
        <v>126</v>
      </c>
      <c r="G31" s="3">
        <v>3.7000666440000001</v>
      </c>
    </row>
    <row r="32" spans="1:7" x14ac:dyDescent="0.3">
      <c r="A32" s="3" t="s">
        <v>4</v>
      </c>
      <c r="B32" s="3" t="s">
        <v>21</v>
      </c>
      <c r="C32" s="3">
        <v>24.320512820000001</v>
      </c>
      <c r="D32" s="3">
        <v>10</v>
      </c>
      <c r="E32" s="3" t="s">
        <v>51</v>
      </c>
      <c r="F32" s="3" t="s">
        <v>126</v>
      </c>
      <c r="G32" s="3">
        <v>3.8983400760000002</v>
      </c>
    </row>
    <row r="33" spans="1:7" x14ac:dyDescent="0.3">
      <c r="A33" s="3" t="s">
        <v>4</v>
      </c>
      <c r="B33" s="3" t="s">
        <v>21</v>
      </c>
      <c r="C33" s="3">
        <v>30.774999999999999</v>
      </c>
      <c r="D33" s="3">
        <v>11</v>
      </c>
      <c r="E33" s="3" t="s">
        <v>51</v>
      </c>
      <c r="F33" s="3" t="s">
        <v>126</v>
      </c>
      <c r="G33" s="3">
        <v>4.02132574</v>
      </c>
    </row>
    <row r="34" spans="1:7" x14ac:dyDescent="0.3">
      <c r="A34" s="3" t="s">
        <v>4</v>
      </c>
      <c r="B34" s="3" t="s">
        <v>21</v>
      </c>
      <c r="C34" s="3">
        <v>32.435897439999998</v>
      </c>
      <c r="D34" s="3">
        <v>12</v>
      </c>
      <c r="E34" s="3" t="s">
        <v>51</v>
      </c>
      <c r="F34" s="3" t="s">
        <v>126</v>
      </c>
      <c r="G34" s="3">
        <v>4.0506694989999996</v>
      </c>
    </row>
    <row r="35" spans="1:7" x14ac:dyDescent="0.3">
      <c r="A35" s="3" t="s">
        <v>4</v>
      </c>
      <c r="B35" s="3" t="s">
        <v>21</v>
      </c>
      <c r="C35" s="3">
        <v>35.4375</v>
      </c>
      <c r="D35" s="3">
        <v>13</v>
      </c>
      <c r="E35" s="3" t="s">
        <v>51</v>
      </c>
      <c r="F35" s="3" t="s">
        <v>126</v>
      </c>
      <c r="G35" s="3">
        <v>4.1016097729999998</v>
      </c>
    </row>
    <row r="36" spans="1:7" x14ac:dyDescent="0.3">
      <c r="A36" s="3" t="s">
        <v>4</v>
      </c>
      <c r="B36" s="3" t="s">
        <v>21</v>
      </c>
      <c r="C36" s="3">
        <v>30.764705880000001</v>
      </c>
      <c r="D36" s="3">
        <v>14</v>
      </c>
      <c r="E36" s="3" t="s">
        <v>51</v>
      </c>
      <c r="F36" s="3" t="s">
        <v>126</v>
      </c>
      <c r="G36" s="3">
        <v>4.0211411579999998</v>
      </c>
    </row>
    <row r="37" spans="1:7" x14ac:dyDescent="0.3">
      <c r="A37" s="3" t="s">
        <v>4</v>
      </c>
      <c r="B37" s="3" t="s">
        <v>21</v>
      </c>
      <c r="C37" s="3">
        <v>23.324999999999999</v>
      </c>
      <c r="D37" s="3">
        <v>47</v>
      </c>
      <c r="E37" s="3" t="s">
        <v>51</v>
      </c>
      <c r="F37" s="3" t="s">
        <v>126</v>
      </c>
      <c r="G37" s="3">
        <v>3.8779490249999999</v>
      </c>
    </row>
    <row r="38" spans="1:7" x14ac:dyDescent="0.3">
      <c r="A38" s="3" t="s">
        <v>4</v>
      </c>
      <c r="B38" s="3" t="s">
        <v>21</v>
      </c>
      <c r="C38" s="3">
        <v>14.3125</v>
      </c>
      <c r="D38" s="3">
        <v>48</v>
      </c>
      <c r="E38" s="3" t="s">
        <v>51</v>
      </c>
      <c r="F38" s="3" t="s">
        <v>126</v>
      </c>
      <c r="G38" s="3">
        <v>3.6715425339999999</v>
      </c>
    </row>
    <row r="39" spans="1:7" x14ac:dyDescent="0.3">
      <c r="A39" s="3" t="s">
        <v>4</v>
      </c>
      <c r="B39" s="3" t="s">
        <v>21</v>
      </c>
      <c r="C39" s="3">
        <v>7.692307692</v>
      </c>
      <c r="D39" s="3">
        <v>49</v>
      </c>
      <c r="E39" s="3" t="s">
        <v>51</v>
      </c>
      <c r="F39" s="3" t="s">
        <v>126</v>
      </c>
      <c r="G39" s="3">
        <v>3.487139811</v>
      </c>
    </row>
    <row r="40" spans="1:7" x14ac:dyDescent="0.3">
      <c r="A40" s="3" t="s">
        <v>4</v>
      </c>
      <c r="B40" s="3" t="s">
        <v>21</v>
      </c>
      <c r="C40" s="3">
        <v>10.1875</v>
      </c>
      <c r="D40" s="3">
        <v>50</v>
      </c>
      <c r="E40" s="3" t="s">
        <v>51</v>
      </c>
      <c r="F40" s="3" t="s">
        <v>126</v>
      </c>
      <c r="G40" s="3">
        <v>3.560690906</v>
      </c>
    </row>
    <row r="41" spans="1:7" x14ac:dyDescent="0.3">
      <c r="A41" s="3" t="s">
        <v>4</v>
      </c>
      <c r="B41" s="3" t="s">
        <v>21</v>
      </c>
      <c r="C41" s="3">
        <v>6.9871794869999997</v>
      </c>
      <c r="D41" s="3">
        <v>51</v>
      </c>
      <c r="E41" s="3" t="s">
        <v>51</v>
      </c>
      <c r="F41" s="3" t="s">
        <v>126</v>
      </c>
      <c r="G41" s="3">
        <v>3.4653351809999999</v>
      </c>
    </row>
    <row r="42" spans="1:7" x14ac:dyDescent="0.3">
      <c r="A42" s="3" t="s">
        <v>4</v>
      </c>
      <c r="B42" s="3" t="s">
        <v>21</v>
      </c>
      <c r="C42" s="3">
        <v>5.375</v>
      </c>
      <c r="D42" s="3">
        <v>52</v>
      </c>
      <c r="E42" s="3" t="s">
        <v>51</v>
      </c>
      <c r="F42" s="3" t="s">
        <v>126</v>
      </c>
      <c r="G42" s="3">
        <v>3.4136199020000002</v>
      </c>
    </row>
    <row r="43" spans="1:7" x14ac:dyDescent="0.3">
      <c r="A43" s="3" t="s">
        <v>4</v>
      </c>
      <c r="B43" s="3" t="s">
        <v>21</v>
      </c>
      <c r="C43" s="3">
        <v>5.7678571429999996</v>
      </c>
      <c r="D43" s="3">
        <v>53</v>
      </c>
      <c r="E43" s="3" t="s">
        <v>51</v>
      </c>
      <c r="F43" s="3" t="s">
        <v>126</v>
      </c>
      <c r="G43" s="3">
        <v>3.426470546</v>
      </c>
    </row>
    <row r="44" spans="1:7" x14ac:dyDescent="0.3">
      <c r="A44" s="3" t="s">
        <v>4</v>
      </c>
      <c r="B44" s="3" t="s">
        <v>7</v>
      </c>
      <c r="C44" s="3">
        <v>2.4090909090000001</v>
      </c>
      <c r="D44" s="3">
        <v>1</v>
      </c>
      <c r="E44" s="3" t="s">
        <v>49</v>
      </c>
      <c r="F44" s="3" t="s">
        <v>126</v>
      </c>
      <c r="G44" s="3">
        <v>3.3108747429999998</v>
      </c>
    </row>
    <row r="45" spans="1:7" x14ac:dyDescent="0.3">
      <c r="A45" s="3" t="s">
        <v>4</v>
      </c>
      <c r="B45" s="3" t="s">
        <v>7</v>
      </c>
      <c r="C45" s="3">
        <v>7.5750000000000002</v>
      </c>
      <c r="D45" s="3">
        <v>2</v>
      </c>
      <c r="E45" s="3" t="s">
        <v>49</v>
      </c>
      <c r="F45" s="3" t="s">
        <v>126</v>
      </c>
      <c r="G45" s="3">
        <v>3.4835451229999999</v>
      </c>
    </row>
    <row r="46" spans="1:7" x14ac:dyDescent="0.3">
      <c r="A46" s="3" t="s">
        <v>4</v>
      </c>
      <c r="B46" s="3" t="s">
        <v>7</v>
      </c>
      <c r="C46" s="3">
        <v>12.175000000000001</v>
      </c>
      <c r="D46" s="3">
        <v>3</v>
      </c>
      <c r="E46" s="3" t="s">
        <v>49</v>
      </c>
      <c r="F46" s="3" t="s">
        <v>126</v>
      </c>
      <c r="G46" s="3">
        <v>3.6156364920000001</v>
      </c>
    </row>
    <row r="47" spans="1:7" x14ac:dyDescent="0.3">
      <c r="A47" s="3" t="s">
        <v>4</v>
      </c>
      <c r="B47" s="3" t="s">
        <v>7</v>
      </c>
      <c r="C47" s="3">
        <v>21.794871789999998</v>
      </c>
      <c r="D47" s="3">
        <v>4</v>
      </c>
      <c r="E47" s="3" t="s">
        <v>49</v>
      </c>
      <c r="F47" s="3" t="s">
        <v>126</v>
      </c>
      <c r="G47" s="3">
        <v>3.8457736200000001</v>
      </c>
    </row>
    <row r="48" spans="1:7" x14ac:dyDescent="0.3">
      <c r="A48" s="3" t="s">
        <v>4</v>
      </c>
      <c r="B48" s="3" t="s">
        <v>7</v>
      </c>
      <c r="C48" s="3">
        <v>14.05</v>
      </c>
      <c r="D48" s="3">
        <v>5</v>
      </c>
      <c r="E48" s="3" t="s">
        <v>49</v>
      </c>
      <c r="F48" s="3" t="s">
        <v>126</v>
      </c>
      <c r="G48" s="3">
        <v>3.6648428759999998</v>
      </c>
    </row>
    <row r="49" spans="1:7" x14ac:dyDescent="0.3">
      <c r="A49" s="3" t="s">
        <v>4</v>
      </c>
      <c r="B49" s="3" t="s">
        <v>7</v>
      </c>
      <c r="C49" s="3">
        <v>17.487179489999999</v>
      </c>
      <c r="D49" s="3">
        <v>6</v>
      </c>
      <c r="E49" s="3" t="s">
        <v>49</v>
      </c>
      <c r="F49" s="3" t="s">
        <v>126</v>
      </c>
      <c r="G49" s="3">
        <v>3.749202371</v>
      </c>
    </row>
    <row r="50" spans="1:7" x14ac:dyDescent="0.3">
      <c r="A50" s="3" t="s">
        <v>4</v>
      </c>
      <c r="B50" s="3" t="s">
        <v>7</v>
      </c>
      <c r="C50" s="3">
        <v>7.3375000000000004</v>
      </c>
      <c r="D50" s="3">
        <v>7</v>
      </c>
      <c r="E50" s="3" t="s">
        <v>49</v>
      </c>
      <c r="F50" s="3" t="s">
        <v>126</v>
      </c>
      <c r="G50" s="3">
        <v>3.4762275479999998</v>
      </c>
    </row>
    <row r="51" spans="1:7" x14ac:dyDescent="0.3">
      <c r="A51" s="3" t="s">
        <v>4</v>
      </c>
      <c r="B51" s="3" t="s">
        <v>7</v>
      </c>
      <c r="C51" s="3">
        <v>-4.2179487179999997</v>
      </c>
      <c r="D51" s="3">
        <v>8</v>
      </c>
      <c r="E51" s="3" t="s">
        <v>49</v>
      </c>
      <c r="F51" s="3" t="s">
        <v>126</v>
      </c>
      <c r="G51" s="3">
        <v>3.034089695</v>
      </c>
    </row>
    <row r="52" spans="1:7" x14ac:dyDescent="0.3">
      <c r="A52" s="3" t="s">
        <v>4</v>
      </c>
      <c r="B52" s="3" t="s">
        <v>7</v>
      </c>
      <c r="C52" s="3">
        <v>13.8375</v>
      </c>
      <c r="D52" s="3">
        <v>9</v>
      </c>
      <c r="E52" s="3" t="s">
        <v>49</v>
      </c>
      <c r="F52" s="3" t="s">
        <v>126</v>
      </c>
      <c r="G52" s="3">
        <v>3.6593862750000001</v>
      </c>
    </row>
    <row r="53" spans="1:7" x14ac:dyDescent="0.3">
      <c r="A53" s="3" t="s">
        <v>4</v>
      </c>
      <c r="B53" s="3" t="s">
        <v>7</v>
      </c>
      <c r="C53" s="3">
        <v>15.3974359</v>
      </c>
      <c r="D53" s="3">
        <v>10</v>
      </c>
      <c r="E53" s="3" t="s">
        <v>49</v>
      </c>
      <c r="F53" s="3" t="s">
        <v>126</v>
      </c>
      <c r="G53" s="3">
        <v>3.6987663149999999</v>
      </c>
    </row>
    <row r="54" spans="1:7" x14ac:dyDescent="0.3">
      <c r="A54" s="3" t="s">
        <v>4</v>
      </c>
      <c r="B54" s="3" t="s">
        <v>7</v>
      </c>
      <c r="C54" s="3">
        <v>29.112500000000001</v>
      </c>
      <c r="D54" s="3">
        <v>11</v>
      </c>
      <c r="E54" s="3" t="s">
        <v>49</v>
      </c>
      <c r="F54" s="3" t="s">
        <v>126</v>
      </c>
      <c r="G54" s="3">
        <v>3.9910652130000002</v>
      </c>
    </row>
    <row r="55" spans="1:7" x14ac:dyDescent="0.3">
      <c r="A55" s="3" t="s">
        <v>4</v>
      </c>
      <c r="B55" s="3" t="s">
        <v>7</v>
      </c>
      <c r="C55" s="3">
        <v>29.410256409999999</v>
      </c>
      <c r="D55" s="3">
        <v>12</v>
      </c>
      <c r="E55" s="3" t="s">
        <v>49</v>
      </c>
      <c r="F55" s="3" t="s">
        <v>126</v>
      </c>
      <c r="G55" s="3">
        <v>3.9965526730000001</v>
      </c>
    </row>
    <row r="56" spans="1:7" x14ac:dyDescent="0.3">
      <c r="A56" s="3" t="s">
        <v>4</v>
      </c>
      <c r="B56" s="3" t="s">
        <v>7</v>
      </c>
      <c r="C56" s="3">
        <v>34.375</v>
      </c>
      <c r="D56" s="3">
        <v>13</v>
      </c>
      <c r="E56" s="3" t="s">
        <v>49</v>
      </c>
      <c r="F56" s="3" t="s">
        <v>126</v>
      </c>
      <c r="G56" s="3">
        <v>4.083873262</v>
      </c>
    </row>
    <row r="57" spans="1:7" x14ac:dyDescent="0.3">
      <c r="A57" s="3" t="s">
        <v>4</v>
      </c>
      <c r="B57" s="3" t="s">
        <v>7</v>
      </c>
      <c r="C57" s="3">
        <v>32.882352939999997</v>
      </c>
      <c r="D57" s="3">
        <v>14</v>
      </c>
      <c r="E57" s="3" t="s">
        <v>49</v>
      </c>
      <c r="F57" s="3" t="s">
        <v>126</v>
      </c>
      <c r="G57" s="3">
        <v>4.0584125530000001</v>
      </c>
    </row>
    <row r="58" spans="1:7" x14ac:dyDescent="0.3">
      <c r="A58" s="3" t="s">
        <v>4</v>
      </c>
      <c r="B58" s="3" t="s">
        <v>7</v>
      </c>
      <c r="C58" s="3">
        <v>25.574999999999999</v>
      </c>
      <c r="D58" s="3">
        <v>47</v>
      </c>
      <c r="E58" s="3" t="s">
        <v>49</v>
      </c>
      <c r="F58" s="3" t="s">
        <v>126</v>
      </c>
      <c r="G58" s="3">
        <v>3.9234573830000001</v>
      </c>
    </row>
    <row r="59" spans="1:7" x14ac:dyDescent="0.3">
      <c r="A59" s="3" t="s">
        <v>4</v>
      </c>
      <c r="B59" s="3" t="s">
        <v>7</v>
      </c>
      <c r="C59" s="3">
        <v>11.387499999999999</v>
      </c>
      <c r="D59" s="3">
        <v>48</v>
      </c>
      <c r="E59" s="3" t="s">
        <v>49</v>
      </c>
      <c r="F59" s="3" t="s">
        <v>126</v>
      </c>
      <c r="G59" s="3">
        <v>3.594225309</v>
      </c>
    </row>
    <row r="60" spans="1:7" x14ac:dyDescent="0.3">
      <c r="A60" s="3" t="s">
        <v>4</v>
      </c>
      <c r="B60" s="3" t="s">
        <v>7</v>
      </c>
      <c r="C60" s="3">
        <v>3.4743589739999998</v>
      </c>
      <c r="D60" s="3">
        <v>49</v>
      </c>
      <c r="E60" s="3" t="s">
        <v>49</v>
      </c>
      <c r="F60" s="3" t="s">
        <v>126</v>
      </c>
      <c r="G60" s="3">
        <v>3.3490039970000001</v>
      </c>
    </row>
    <row r="61" spans="1:7" x14ac:dyDescent="0.3">
      <c r="A61" s="3" t="s">
        <v>4</v>
      </c>
      <c r="B61" s="3" t="s">
        <v>7</v>
      </c>
      <c r="C61" s="3">
        <v>8.1374999999999993</v>
      </c>
      <c r="D61" s="3">
        <v>50</v>
      </c>
      <c r="E61" s="3" t="s">
        <v>49</v>
      </c>
      <c r="F61" s="3" t="s">
        <v>126</v>
      </c>
      <c r="G61" s="3">
        <v>3.5006655719999999</v>
      </c>
    </row>
    <row r="62" spans="1:7" x14ac:dyDescent="0.3">
      <c r="A62" s="3" t="s">
        <v>4</v>
      </c>
      <c r="B62" s="3" t="s">
        <v>7</v>
      </c>
      <c r="C62" s="3">
        <v>3.8717948720000002</v>
      </c>
      <c r="D62" s="3">
        <v>51</v>
      </c>
      <c r="E62" s="3" t="s">
        <v>49</v>
      </c>
      <c r="F62" s="3" t="s">
        <v>126</v>
      </c>
      <c r="G62" s="3">
        <v>3.3628651629999999</v>
      </c>
    </row>
    <row r="63" spans="1:7" x14ac:dyDescent="0.3">
      <c r="A63" s="3" t="s">
        <v>4</v>
      </c>
      <c r="B63" s="3" t="s">
        <v>7</v>
      </c>
      <c r="C63" s="3">
        <v>5.4749999999999996</v>
      </c>
      <c r="D63" s="3">
        <v>52</v>
      </c>
      <c r="E63" s="3" t="s">
        <v>49</v>
      </c>
      <c r="F63" s="3" t="s">
        <v>126</v>
      </c>
      <c r="G63" s="3">
        <v>3.4169066749999999</v>
      </c>
    </row>
    <row r="64" spans="1:7" x14ac:dyDescent="0.3">
      <c r="A64" s="3" t="s">
        <v>4</v>
      </c>
      <c r="B64" s="3" t="s">
        <v>7</v>
      </c>
      <c r="C64" s="3">
        <v>2.5535714289999998</v>
      </c>
      <c r="D64" s="3">
        <v>53</v>
      </c>
      <c r="E64" s="3" t="s">
        <v>49</v>
      </c>
      <c r="F64" s="3" t="s">
        <v>126</v>
      </c>
      <c r="G64" s="3">
        <v>3.3161321620000002</v>
      </c>
    </row>
    <row r="65" spans="1:7" x14ac:dyDescent="0.3">
      <c r="A65" s="3" t="s">
        <v>5</v>
      </c>
      <c r="B65" s="3" t="s">
        <v>8</v>
      </c>
      <c r="C65" s="3">
        <v>23.545454549999999</v>
      </c>
      <c r="D65" s="3">
        <v>1</v>
      </c>
      <c r="E65" s="3" t="s">
        <v>49</v>
      </c>
      <c r="F65" s="3" t="s">
        <v>126</v>
      </c>
      <c r="G65" s="3">
        <v>3.882500566</v>
      </c>
    </row>
    <row r="66" spans="1:7" x14ac:dyDescent="0.3">
      <c r="A66" s="3" t="s">
        <v>5</v>
      </c>
      <c r="B66" s="3" t="s">
        <v>8</v>
      </c>
      <c r="C66" s="3">
        <v>30.412500000000001</v>
      </c>
      <c r="D66" s="3">
        <v>2</v>
      </c>
      <c r="E66" s="3" t="s">
        <v>49</v>
      </c>
      <c r="F66" s="3" t="s">
        <v>126</v>
      </c>
      <c r="G66" s="3">
        <v>4.0148051999999996</v>
      </c>
    </row>
    <row r="67" spans="1:7" x14ac:dyDescent="0.3">
      <c r="A67" s="3" t="s">
        <v>5</v>
      </c>
      <c r="B67" s="3" t="s">
        <v>8</v>
      </c>
      <c r="C67" s="3">
        <v>30.53846154</v>
      </c>
      <c r="D67" s="3">
        <v>3</v>
      </c>
      <c r="E67" s="3" t="s">
        <v>49</v>
      </c>
      <c r="F67" s="3" t="s">
        <v>126</v>
      </c>
      <c r="G67" s="3">
        <v>4.017075781</v>
      </c>
    </row>
    <row r="68" spans="1:7" x14ac:dyDescent="0.3">
      <c r="A68" s="3" t="s">
        <v>5</v>
      </c>
      <c r="B68" s="3" t="s">
        <v>8</v>
      </c>
      <c r="C68" s="3">
        <v>29.225000000000001</v>
      </c>
      <c r="D68" s="3">
        <v>4</v>
      </c>
      <c r="E68" s="3" t="s">
        <v>49</v>
      </c>
      <c r="F68" s="3" t="s">
        <v>126</v>
      </c>
      <c r="G68" s="3">
        <v>3.993142057</v>
      </c>
    </row>
    <row r="69" spans="1:7" x14ac:dyDescent="0.3">
      <c r="A69" s="3" t="s">
        <v>5</v>
      </c>
      <c r="B69" s="3" t="s">
        <v>8</v>
      </c>
      <c r="C69" s="3">
        <v>26.128205130000001</v>
      </c>
      <c r="D69" s="3">
        <v>5</v>
      </c>
      <c r="E69" s="3" t="s">
        <v>49</v>
      </c>
      <c r="F69" s="3" t="s">
        <v>126</v>
      </c>
      <c r="G69" s="3">
        <v>3.9343363039999999</v>
      </c>
    </row>
    <row r="70" spans="1:7" x14ac:dyDescent="0.3">
      <c r="A70" s="3" t="s">
        <v>5</v>
      </c>
      <c r="B70" s="3" t="s">
        <v>8</v>
      </c>
      <c r="C70" s="3">
        <v>26.8125</v>
      </c>
      <c r="D70" s="3">
        <v>6</v>
      </c>
      <c r="E70" s="3" t="s">
        <v>49</v>
      </c>
      <c r="F70" s="3" t="s">
        <v>126</v>
      </c>
      <c r="G70" s="3">
        <v>3.9476314330000002</v>
      </c>
    </row>
    <row r="71" spans="1:7" x14ac:dyDescent="0.3">
      <c r="A71" s="3" t="s">
        <v>5</v>
      </c>
      <c r="B71" s="3" t="s">
        <v>8</v>
      </c>
      <c r="C71" s="3">
        <v>26.064102559999998</v>
      </c>
      <c r="D71" s="3">
        <v>7</v>
      </c>
      <c r="E71" s="3" t="s">
        <v>49</v>
      </c>
      <c r="F71" s="3" t="s">
        <v>126</v>
      </c>
      <c r="G71" s="3">
        <v>3.933081756</v>
      </c>
    </row>
    <row r="72" spans="1:7" x14ac:dyDescent="0.3">
      <c r="A72" s="3" t="s">
        <v>5</v>
      </c>
      <c r="B72" s="3" t="s">
        <v>8</v>
      </c>
      <c r="C72" s="3">
        <v>22.725000000000001</v>
      </c>
      <c r="D72" s="3">
        <v>8</v>
      </c>
      <c r="E72" s="3" t="s">
        <v>49</v>
      </c>
      <c r="F72" s="3" t="s">
        <v>126</v>
      </c>
      <c r="G72" s="3">
        <v>3.8654553699999998</v>
      </c>
    </row>
    <row r="73" spans="1:7" x14ac:dyDescent="0.3">
      <c r="A73" s="3" t="s">
        <v>5</v>
      </c>
      <c r="B73" s="3" t="s">
        <v>8</v>
      </c>
      <c r="C73" s="3">
        <v>24.15384615</v>
      </c>
      <c r="D73" s="3">
        <v>9</v>
      </c>
      <c r="E73" s="3" t="s">
        <v>49</v>
      </c>
      <c r="F73" s="3" t="s">
        <v>126</v>
      </c>
      <c r="G73" s="3">
        <v>3.894955097</v>
      </c>
    </row>
    <row r="74" spans="1:7" x14ac:dyDescent="0.3">
      <c r="A74" s="3" t="s">
        <v>5</v>
      </c>
      <c r="B74" s="3" t="s">
        <v>8</v>
      </c>
      <c r="C74" s="3">
        <v>29.412500000000001</v>
      </c>
      <c r="D74" s="3">
        <v>10</v>
      </c>
      <c r="E74" s="3" t="s">
        <v>49</v>
      </c>
      <c r="F74" s="3" t="s">
        <v>126</v>
      </c>
      <c r="G74" s="3">
        <v>3.9965939069999998</v>
      </c>
    </row>
    <row r="75" spans="1:7" x14ac:dyDescent="0.3">
      <c r="A75" s="3" t="s">
        <v>5</v>
      </c>
      <c r="B75" s="3" t="s">
        <v>8</v>
      </c>
      <c r="C75" s="3">
        <v>35.26923077</v>
      </c>
      <c r="D75" s="3">
        <v>11</v>
      </c>
      <c r="E75" s="3" t="s">
        <v>49</v>
      </c>
      <c r="F75" s="3" t="s">
        <v>126</v>
      </c>
      <c r="G75" s="3">
        <v>4.0988217039999997</v>
      </c>
    </row>
    <row r="76" spans="1:7" x14ac:dyDescent="0.3">
      <c r="A76" s="3" t="s">
        <v>5</v>
      </c>
      <c r="B76" s="3" t="s">
        <v>8</v>
      </c>
      <c r="C76" s="3">
        <v>34.825000000000003</v>
      </c>
      <c r="D76" s="3">
        <v>12</v>
      </c>
      <c r="E76" s="3" t="s">
        <v>49</v>
      </c>
      <c r="F76" s="3" t="s">
        <v>126</v>
      </c>
      <c r="G76" s="3">
        <v>4.0914236339999999</v>
      </c>
    </row>
    <row r="77" spans="1:7" x14ac:dyDescent="0.3">
      <c r="A77" s="3" t="s">
        <v>5</v>
      </c>
      <c r="B77" s="3" t="s">
        <v>8</v>
      </c>
      <c r="C77" s="3">
        <v>35.602564100000002</v>
      </c>
      <c r="D77" s="3">
        <v>13</v>
      </c>
      <c r="E77" s="3" t="s">
        <v>49</v>
      </c>
      <c r="F77" s="3" t="s">
        <v>126</v>
      </c>
      <c r="G77" s="3">
        <v>4.1043372040000001</v>
      </c>
    </row>
    <row r="78" spans="1:7" x14ac:dyDescent="0.3">
      <c r="A78" s="3" t="s">
        <v>5</v>
      </c>
      <c r="B78" s="3" t="s">
        <v>8</v>
      </c>
      <c r="C78" s="3">
        <v>34.147058819999998</v>
      </c>
      <c r="D78" s="3">
        <v>14</v>
      </c>
      <c r="E78" s="3" t="s">
        <v>49</v>
      </c>
      <c r="F78" s="3" t="s">
        <v>126</v>
      </c>
      <c r="G78" s="3">
        <v>4.0800268649999998</v>
      </c>
    </row>
    <row r="79" spans="1:7" x14ac:dyDescent="0.3">
      <c r="A79" s="3" t="s">
        <v>5</v>
      </c>
      <c r="B79" s="3" t="s">
        <v>8</v>
      </c>
      <c r="C79" s="3">
        <v>26.475000000000001</v>
      </c>
      <c r="D79" s="3">
        <v>47</v>
      </c>
      <c r="E79" s="3" t="s">
        <v>49</v>
      </c>
      <c r="F79" s="3" t="s">
        <v>126</v>
      </c>
      <c r="G79" s="3">
        <v>3.941096253</v>
      </c>
    </row>
    <row r="80" spans="1:7" x14ac:dyDescent="0.3">
      <c r="A80" s="3" t="s">
        <v>5</v>
      </c>
      <c r="B80" s="3" t="s">
        <v>8</v>
      </c>
      <c r="C80" s="3">
        <v>25.85</v>
      </c>
      <c r="D80" s="3">
        <v>48</v>
      </c>
      <c r="E80" s="3" t="s">
        <v>49</v>
      </c>
      <c r="F80" s="3" t="s">
        <v>126</v>
      </c>
      <c r="G80" s="3">
        <v>3.9288801219999998</v>
      </c>
    </row>
    <row r="81" spans="1:7" x14ac:dyDescent="0.3">
      <c r="A81" s="3" t="s">
        <v>5</v>
      </c>
      <c r="B81" s="3" t="s">
        <v>8</v>
      </c>
      <c r="C81" s="3">
        <v>26.205128210000002</v>
      </c>
      <c r="D81" s="3">
        <v>49</v>
      </c>
      <c r="E81" s="3" t="s">
        <v>49</v>
      </c>
      <c r="F81" s="3" t="s">
        <v>126</v>
      </c>
      <c r="G81" s="3">
        <v>3.9358396870000001</v>
      </c>
    </row>
    <row r="82" spans="1:7" x14ac:dyDescent="0.3">
      <c r="A82" s="3" t="s">
        <v>5</v>
      </c>
      <c r="B82" s="3" t="s">
        <v>8</v>
      </c>
      <c r="C82" s="3">
        <v>25.612500000000001</v>
      </c>
      <c r="D82" s="3">
        <v>50</v>
      </c>
      <c r="E82" s="3" t="s">
        <v>49</v>
      </c>
      <c r="F82" s="3" t="s">
        <v>126</v>
      </c>
      <c r="G82" s="3">
        <v>3.9241985810000002</v>
      </c>
    </row>
    <row r="83" spans="1:7" x14ac:dyDescent="0.3">
      <c r="A83" s="3" t="s">
        <v>5</v>
      </c>
      <c r="B83" s="3" t="s">
        <v>8</v>
      </c>
      <c r="C83" s="3">
        <v>21.602564099999999</v>
      </c>
      <c r="D83" s="3">
        <v>51</v>
      </c>
      <c r="E83" s="3" t="s">
        <v>49</v>
      </c>
      <c r="F83" s="3" t="s">
        <v>126</v>
      </c>
      <c r="G83" s="3">
        <v>3.8416555630000002</v>
      </c>
    </row>
    <row r="84" spans="1:7" x14ac:dyDescent="0.3">
      <c r="A84" s="3" t="s">
        <v>5</v>
      </c>
      <c r="B84" s="3" t="s">
        <v>8</v>
      </c>
      <c r="C84" s="3">
        <v>18.824999999999999</v>
      </c>
      <c r="D84" s="3">
        <v>52</v>
      </c>
      <c r="E84" s="3" t="s">
        <v>49</v>
      </c>
      <c r="F84" s="3" t="s">
        <v>126</v>
      </c>
      <c r="G84" s="3">
        <v>3.780204431</v>
      </c>
    </row>
    <row r="85" spans="1:7" x14ac:dyDescent="0.3">
      <c r="A85" s="3" t="s">
        <v>5</v>
      </c>
      <c r="B85" s="3" t="s">
        <v>8</v>
      </c>
      <c r="C85" s="3">
        <v>16.785714290000001</v>
      </c>
      <c r="D85" s="3">
        <v>53</v>
      </c>
      <c r="E85" s="3" t="s">
        <v>49</v>
      </c>
      <c r="F85" s="3" t="s">
        <v>126</v>
      </c>
      <c r="G85" s="3">
        <v>3.7325545180000002</v>
      </c>
    </row>
    <row r="86" spans="1:7" x14ac:dyDescent="0.3">
      <c r="A86" s="3" t="s">
        <v>4</v>
      </c>
      <c r="B86" s="3" t="s">
        <v>9</v>
      </c>
      <c r="C86" s="3">
        <v>0.54545454500000001</v>
      </c>
      <c r="D86" s="3">
        <v>1</v>
      </c>
      <c r="E86" s="3" t="s">
        <v>127</v>
      </c>
      <c r="F86" s="3" t="s">
        <v>126</v>
      </c>
      <c r="G86" s="3">
        <v>3.240459397</v>
      </c>
    </row>
    <row r="87" spans="1:7" x14ac:dyDescent="0.3">
      <c r="A87" s="3" t="s">
        <v>4</v>
      </c>
      <c r="B87" s="3" t="s">
        <v>9</v>
      </c>
      <c r="C87" s="3">
        <v>0.88749999999999996</v>
      </c>
      <c r="D87" s="3">
        <v>2</v>
      </c>
      <c r="E87" s="3" t="s">
        <v>127</v>
      </c>
      <c r="F87" s="3" t="s">
        <v>126</v>
      </c>
      <c r="G87" s="3">
        <v>3.2537602269999999</v>
      </c>
    </row>
    <row r="88" spans="1:7" x14ac:dyDescent="0.3">
      <c r="A88" s="3" t="s">
        <v>4</v>
      </c>
      <c r="B88" s="3" t="s">
        <v>9</v>
      </c>
      <c r="C88" s="3">
        <v>1.1794871790000001</v>
      </c>
      <c r="D88" s="3">
        <v>3</v>
      </c>
      <c r="E88" s="3" t="s">
        <v>127</v>
      </c>
      <c r="F88" s="3" t="s">
        <v>126</v>
      </c>
      <c r="G88" s="3">
        <v>3.2649761719999999</v>
      </c>
    </row>
    <row r="89" spans="1:7" x14ac:dyDescent="0.3">
      <c r="A89" s="3" t="s">
        <v>4</v>
      </c>
      <c r="B89" s="3" t="s">
        <v>9</v>
      </c>
      <c r="C89" s="3">
        <v>-1.0125</v>
      </c>
      <c r="D89" s="3">
        <v>4</v>
      </c>
      <c r="E89" s="3" t="s">
        <v>127</v>
      </c>
      <c r="F89" s="3" t="s">
        <v>126</v>
      </c>
      <c r="G89" s="3">
        <v>3.177532861</v>
      </c>
    </row>
    <row r="90" spans="1:7" x14ac:dyDescent="0.3">
      <c r="A90" s="3" t="s">
        <v>4</v>
      </c>
      <c r="B90" s="3" t="s">
        <v>9</v>
      </c>
      <c r="C90" s="3">
        <v>-1.884615385</v>
      </c>
      <c r="D90" s="3">
        <v>5</v>
      </c>
      <c r="E90" s="3" t="s">
        <v>127</v>
      </c>
      <c r="F90" s="3" t="s">
        <v>126</v>
      </c>
      <c r="G90" s="3">
        <v>3.1404983959999999</v>
      </c>
    </row>
    <row r="91" spans="1:7" x14ac:dyDescent="0.3">
      <c r="A91" s="3" t="s">
        <v>4</v>
      </c>
      <c r="B91" s="3" t="s">
        <v>9</v>
      </c>
      <c r="C91" s="3">
        <v>0.33333333300000001</v>
      </c>
      <c r="D91" s="3">
        <v>6</v>
      </c>
      <c r="E91" s="3" t="s">
        <v>127</v>
      </c>
      <c r="F91" s="3" t="s">
        <v>126</v>
      </c>
      <c r="G91" s="3">
        <v>3.2321210520000001</v>
      </c>
    </row>
    <row r="92" spans="1:7" x14ac:dyDescent="0.3">
      <c r="A92" s="3" t="s">
        <v>4</v>
      </c>
      <c r="B92" s="3" t="s">
        <v>9</v>
      </c>
      <c r="C92" s="3" t="s">
        <v>10</v>
      </c>
      <c r="D92" s="3">
        <v>7</v>
      </c>
      <c r="E92" s="3" t="s">
        <v>127</v>
      </c>
      <c r="F92" s="3" t="s">
        <v>126</v>
      </c>
      <c r="G92" s="3" t="s">
        <v>10</v>
      </c>
    </row>
    <row r="93" spans="1:7" x14ac:dyDescent="0.3">
      <c r="A93" s="3" t="s">
        <v>4</v>
      </c>
      <c r="B93" s="3" t="s">
        <v>9</v>
      </c>
      <c r="C93" s="3" t="s">
        <v>10</v>
      </c>
      <c r="D93" s="3">
        <v>8</v>
      </c>
      <c r="E93" s="3" t="s">
        <v>127</v>
      </c>
      <c r="F93" s="3" t="s">
        <v>126</v>
      </c>
      <c r="G93" s="3" t="s">
        <v>10</v>
      </c>
    </row>
    <row r="94" spans="1:7" x14ac:dyDescent="0.3">
      <c r="A94" s="3" t="s">
        <v>4</v>
      </c>
      <c r="B94" s="3" t="s">
        <v>9</v>
      </c>
      <c r="C94" s="3" t="s">
        <v>10</v>
      </c>
      <c r="D94" s="3">
        <v>9</v>
      </c>
      <c r="E94" s="3" t="s">
        <v>127</v>
      </c>
      <c r="F94" s="3" t="s">
        <v>126</v>
      </c>
      <c r="G94" s="3" t="s">
        <v>10</v>
      </c>
    </row>
    <row r="95" spans="1:7" x14ac:dyDescent="0.3">
      <c r="A95" s="3" t="s">
        <v>4</v>
      </c>
      <c r="B95" s="3" t="s">
        <v>9</v>
      </c>
      <c r="C95" s="3" t="s">
        <v>10</v>
      </c>
      <c r="D95" s="3">
        <v>10</v>
      </c>
      <c r="E95" s="3" t="s">
        <v>127</v>
      </c>
      <c r="F95" s="3" t="s">
        <v>126</v>
      </c>
      <c r="G95" s="3" t="s">
        <v>10</v>
      </c>
    </row>
    <row r="96" spans="1:7" x14ac:dyDescent="0.3">
      <c r="A96" s="3" t="s">
        <v>4</v>
      </c>
      <c r="B96" s="3" t="s">
        <v>9</v>
      </c>
      <c r="C96" s="3" t="s">
        <v>10</v>
      </c>
      <c r="D96" s="3">
        <v>11</v>
      </c>
      <c r="E96" s="3" t="s">
        <v>127</v>
      </c>
      <c r="F96" s="3" t="s">
        <v>126</v>
      </c>
      <c r="G96" s="3" t="s">
        <v>10</v>
      </c>
    </row>
    <row r="97" spans="1:7" x14ac:dyDescent="0.3">
      <c r="A97" s="3" t="s">
        <v>4</v>
      </c>
      <c r="B97" s="3" t="s">
        <v>9</v>
      </c>
      <c r="C97" s="3" t="s">
        <v>10</v>
      </c>
      <c r="D97" s="3">
        <v>12</v>
      </c>
      <c r="E97" s="3" t="s">
        <v>127</v>
      </c>
      <c r="F97" s="3" t="s">
        <v>126</v>
      </c>
      <c r="G97" s="3" t="s">
        <v>10</v>
      </c>
    </row>
    <row r="98" spans="1:7" x14ac:dyDescent="0.3">
      <c r="A98" s="3" t="s">
        <v>4</v>
      </c>
      <c r="B98" s="3" t="s">
        <v>9</v>
      </c>
      <c r="C98" s="3" t="s">
        <v>10</v>
      </c>
      <c r="D98" s="3">
        <v>13</v>
      </c>
      <c r="E98" s="3" t="s">
        <v>127</v>
      </c>
      <c r="F98" s="3" t="s">
        <v>126</v>
      </c>
      <c r="G98" s="3" t="s">
        <v>10</v>
      </c>
    </row>
    <row r="99" spans="1:7" x14ac:dyDescent="0.3">
      <c r="A99" s="3" t="s">
        <v>4</v>
      </c>
      <c r="B99" s="3" t="s">
        <v>9</v>
      </c>
      <c r="C99" s="3" t="s">
        <v>10</v>
      </c>
      <c r="D99" s="3">
        <v>14</v>
      </c>
      <c r="E99" s="3" t="s">
        <v>127</v>
      </c>
      <c r="F99" s="3" t="s">
        <v>126</v>
      </c>
      <c r="G99" s="3" t="s">
        <v>10</v>
      </c>
    </row>
    <row r="100" spans="1:7" x14ac:dyDescent="0.3">
      <c r="A100" s="3" t="s">
        <v>4</v>
      </c>
      <c r="B100" s="3" t="s">
        <v>9</v>
      </c>
      <c r="C100" s="3">
        <v>24.925000000000001</v>
      </c>
      <c r="D100" s="3">
        <v>47</v>
      </c>
      <c r="E100" s="3" t="s">
        <v>127</v>
      </c>
      <c r="F100" s="3" t="s">
        <v>126</v>
      </c>
      <c r="G100" s="3">
        <v>3.910521879</v>
      </c>
    </row>
    <row r="101" spans="1:7" x14ac:dyDescent="0.3">
      <c r="A101" s="3" t="s">
        <v>4</v>
      </c>
      <c r="B101" s="3" t="s">
        <v>9</v>
      </c>
      <c r="C101" s="3">
        <v>22.75</v>
      </c>
      <c r="D101" s="3">
        <v>48</v>
      </c>
      <c r="E101" s="3" t="s">
        <v>127</v>
      </c>
      <c r="F101" s="3" t="s">
        <v>126</v>
      </c>
      <c r="G101" s="3">
        <v>3.865979067</v>
      </c>
    </row>
    <row r="102" spans="1:7" x14ac:dyDescent="0.3">
      <c r="A102" s="3" t="s">
        <v>4</v>
      </c>
      <c r="B102" s="3" t="s">
        <v>9</v>
      </c>
      <c r="C102" s="3">
        <v>3.4871794870000001</v>
      </c>
      <c r="D102" s="3">
        <v>49</v>
      </c>
      <c r="E102" s="3" t="s">
        <v>127</v>
      </c>
      <c r="F102" s="3" t="s">
        <v>126</v>
      </c>
      <c r="G102" s="3">
        <v>3.3494541440000001</v>
      </c>
    </row>
    <row r="103" spans="1:7" x14ac:dyDescent="0.3">
      <c r="A103" s="3" t="s">
        <v>4</v>
      </c>
      <c r="B103" s="3" t="s">
        <v>9</v>
      </c>
      <c r="C103" s="3">
        <v>5.6875</v>
      </c>
      <c r="D103" s="3">
        <v>50</v>
      </c>
      <c r="E103" s="3" t="s">
        <v>127</v>
      </c>
      <c r="F103" s="3" t="s">
        <v>126</v>
      </c>
      <c r="G103" s="3">
        <v>3.4238554059999999</v>
      </c>
    </row>
    <row r="104" spans="1:7" x14ac:dyDescent="0.3">
      <c r="A104" s="3" t="s">
        <v>4</v>
      </c>
      <c r="B104" s="3" t="s">
        <v>9</v>
      </c>
      <c r="C104" s="3">
        <v>1.0512820510000001</v>
      </c>
      <c r="D104" s="3">
        <v>51</v>
      </c>
      <c r="E104" s="3" t="s">
        <v>127</v>
      </c>
      <c r="F104" s="3" t="s">
        <v>126</v>
      </c>
      <c r="G104" s="3">
        <v>3.2600669820000001</v>
      </c>
    </row>
    <row r="105" spans="1:7" x14ac:dyDescent="0.3">
      <c r="A105" s="3" t="s">
        <v>4</v>
      </c>
      <c r="B105" s="3" t="s">
        <v>9</v>
      </c>
      <c r="C105" s="3">
        <v>1.3</v>
      </c>
      <c r="D105" s="3">
        <v>52</v>
      </c>
      <c r="E105" s="3" t="s">
        <v>127</v>
      </c>
      <c r="F105" s="3" t="s">
        <v>126</v>
      </c>
      <c r="G105" s="3">
        <v>3.269568939</v>
      </c>
    </row>
    <row r="106" spans="1:7" x14ac:dyDescent="0.3">
      <c r="A106" s="3" t="s">
        <v>4</v>
      </c>
      <c r="B106" s="3" t="s">
        <v>9</v>
      </c>
      <c r="C106" s="3">
        <v>0.96428571399999996</v>
      </c>
      <c r="D106" s="3">
        <v>53</v>
      </c>
      <c r="E106" s="3" t="s">
        <v>127</v>
      </c>
      <c r="F106" s="3" t="s">
        <v>126</v>
      </c>
      <c r="G106" s="3">
        <v>3.2567219669999998</v>
      </c>
    </row>
    <row r="107" spans="1:7" x14ac:dyDescent="0.3">
      <c r="A107" s="3" t="s">
        <v>5</v>
      </c>
      <c r="B107" s="3" t="s">
        <v>17</v>
      </c>
      <c r="C107" s="3">
        <v>0.31818181800000001</v>
      </c>
      <c r="D107" s="3">
        <v>1</v>
      </c>
      <c r="E107" s="3" t="s">
        <v>127</v>
      </c>
      <c r="F107" s="3" t="s">
        <v>126</v>
      </c>
      <c r="G107" s="3">
        <v>3.2315227869999998</v>
      </c>
    </row>
    <row r="108" spans="1:7" x14ac:dyDescent="0.3">
      <c r="A108" s="3" t="s">
        <v>5</v>
      </c>
      <c r="B108" s="3" t="s">
        <v>17</v>
      </c>
      <c r="C108" s="3">
        <v>1.0125</v>
      </c>
      <c r="D108" s="3">
        <v>2</v>
      </c>
      <c r="E108" s="3" t="s">
        <v>127</v>
      </c>
      <c r="F108" s="3" t="s">
        <v>126</v>
      </c>
      <c r="G108" s="3">
        <v>3.2585771920000002</v>
      </c>
    </row>
    <row r="109" spans="1:7" x14ac:dyDescent="0.3">
      <c r="A109" s="3" t="s">
        <v>5</v>
      </c>
      <c r="B109" s="3" t="s">
        <v>17</v>
      </c>
      <c r="C109" s="3">
        <v>2.0641025640000001</v>
      </c>
      <c r="D109" s="3">
        <v>3</v>
      </c>
      <c r="E109" s="3" t="s">
        <v>127</v>
      </c>
      <c r="F109" s="3" t="s">
        <v>126</v>
      </c>
      <c r="G109" s="3">
        <v>3.2982082209999999</v>
      </c>
    </row>
    <row r="110" spans="1:7" x14ac:dyDescent="0.3">
      <c r="A110" s="3" t="s">
        <v>5</v>
      </c>
      <c r="B110" s="3" t="s">
        <v>17</v>
      </c>
      <c r="C110" s="3">
        <v>0.375</v>
      </c>
      <c r="D110" s="3">
        <v>4</v>
      </c>
      <c r="E110" s="3" t="s">
        <v>127</v>
      </c>
      <c r="F110" s="3" t="s">
        <v>126</v>
      </c>
      <c r="G110" s="3">
        <v>3.233764437</v>
      </c>
    </row>
    <row r="111" spans="1:7" x14ac:dyDescent="0.3">
      <c r="A111" s="3" t="s">
        <v>5</v>
      </c>
      <c r="B111" s="3" t="s">
        <v>17</v>
      </c>
      <c r="C111" s="3">
        <v>-1.2179487179999999</v>
      </c>
      <c r="D111" s="3">
        <v>5</v>
      </c>
      <c r="E111" s="3" t="s">
        <v>127</v>
      </c>
      <c r="F111" s="3" t="s">
        <v>126</v>
      </c>
      <c r="G111" s="3">
        <v>3.168931148</v>
      </c>
    </row>
    <row r="112" spans="1:7" x14ac:dyDescent="0.3">
      <c r="A112" s="3" t="s">
        <v>5</v>
      </c>
      <c r="B112" s="3" t="s">
        <v>17</v>
      </c>
      <c r="C112" s="3">
        <v>-0.05</v>
      </c>
      <c r="D112" s="3">
        <v>6</v>
      </c>
      <c r="E112" s="3" t="s">
        <v>127</v>
      </c>
      <c r="F112" s="3" t="s">
        <v>126</v>
      </c>
      <c r="G112" s="3">
        <v>3.2168738220000002</v>
      </c>
    </row>
    <row r="113" spans="1:7" x14ac:dyDescent="0.3">
      <c r="A113" s="3" t="s">
        <v>5</v>
      </c>
      <c r="B113" s="3" t="s">
        <v>17</v>
      </c>
      <c r="C113" s="3">
        <v>-10.410256410000001</v>
      </c>
      <c r="D113" s="3">
        <v>7</v>
      </c>
      <c r="E113" s="3" t="s">
        <v>127</v>
      </c>
      <c r="F113" s="3" t="s">
        <v>126</v>
      </c>
      <c r="G113" s="3">
        <v>2.6803187880000001</v>
      </c>
    </row>
    <row r="114" spans="1:7" x14ac:dyDescent="0.3">
      <c r="A114" s="3" t="s">
        <v>5</v>
      </c>
      <c r="B114" s="3" t="s">
        <v>17</v>
      </c>
      <c r="C114" s="3">
        <v>-10.375</v>
      </c>
      <c r="D114" s="3">
        <v>8</v>
      </c>
      <c r="E114" s="3" t="s">
        <v>127</v>
      </c>
      <c r="F114" s="3" t="s">
        <v>126</v>
      </c>
      <c r="G114" s="3">
        <v>2.6827323930000002</v>
      </c>
    </row>
    <row r="115" spans="1:7" x14ac:dyDescent="0.3">
      <c r="A115" s="3" t="s">
        <v>5</v>
      </c>
      <c r="B115" s="3" t="s">
        <v>17</v>
      </c>
      <c r="C115" s="3">
        <v>6.3589743590000003</v>
      </c>
      <c r="D115" s="3">
        <v>9</v>
      </c>
      <c r="E115" s="3" t="s">
        <v>127</v>
      </c>
      <c r="F115" s="3" t="s">
        <v>126</v>
      </c>
      <c r="G115" s="3">
        <v>3.4455004900000001</v>
      </c>
    </row>
    <row r="116" spans="1:7" x14ac:dyDescent="0.3">
      <c r="A116" s="3" t="s">
        <v>5</v>
      </c>
      <c r="B116" s="3" t="s">
        <v>17</v>
      </c>
      <c r="C116" s="3">
        <v>6.9</v>
      </c>
      <c r="D116" s="3">
        <v>10</v>
      </c>
      <c r="E116" s="3" t="s">
        <v>127</v>
      </c>
      <c r="F116" s="3" t="s">
        <v>126</v>
      </c>
      <c r="G116" s="3">
        <v>3.46260601</v>
      </c>
    </row>
    <row r="117" spans="1:7" x14ac:dyDescent="0.3">
      <c r="A117" s="3" t="s">
        <v>5</v>
      </c>
      <c r="B117" s="3" t="s">
        <v>17</v>
      </c>
      <c r="C117" s="3">
        <v>16.3125</v>
      </c>
      <c r="D117" s="3">
        <v>11</v>
      </c>
      <c r="E117" s="3" t="s">
        <v>127</v>
      </c>
      <c r="F117" s="3" t="s">
        <v>126</v>
      </c>
      <c r="G117" s="3">
        <v>3.721165118</v>
      </c>
    </row>
    <row r="118" spans="1:7" x14ac:dyDescent="0.3">
      <c r="A118" s="3" t="s">
        <v>5</v>
      </c>
      <c r="B118" s="3" t="s">
        <v>17</v>
      </c>
      <c r="C118" s="3">
        <v>10.06410256</v>
      </c>
      <c r="D118" s="3">
        <v>12</v>
      </c>
      <c r="E118" s="3" t="s">
        <v>127</v>
      </c>
      <c r="F118" s="3" t="s">
        <v>126</v>
      </c>
      <c r="G118" s="3">
        <v>3.557177888</v>
      </c>
    </row>
    <row r="119" spans="1:7" x14ac:dyDescent="0.3">
      <c r="A119" s="3" t="s">
        <v>5</v>
      </c>
      <c r="B119" s="3" t="s">
        <v>17</v>
      </c>
      <c r="C119" s="3">
        <v>22.96153846</v>
      </c>
      <c r="D119" s="3">
        <v>13</v>
      </c>
      <c r="E119" s="3" t="s">
        <v>127</v>
      </c>
      <c r="F119" s="3" t="s">
        <v>126</v>
      </c>
      <c r="G119" s="3">
        <v>3.8703994079999999</v>
      </c>
    </row>
    <row r="120" spans="1:7" x14ac:dyDescent="0.3">
      <c r="A120" s="3" t="s">
        <v>5</v>
      </c>
      <c r="B120" s="3" t="s">
        <v>17</v>
      </c>
      <c r="C120" s="3">
        <v>24.352941179999998</v>
      </c>
      <c r="D120" s="3">
        <v>14</v>
      </c>
      <c r="E120" s="3" t="s">
        <v>127</v>
      </c>
      <c r="F120" s="3" t="s">
        <v>126</v>
      </c>
      <c r="G120" s="3">
        <v>3.8989973619999998</v>
      </c>
    </row>
    <row r="121" spans="1:7" x14ac:dyDescent="0.3">
      <c r="A121" s="3" t="s">
        <v>5</v>
      </c>
      <c r="B121" s="3" t="s">
        <v>17</v>
      </c>
      <c r="C121" s="3">
        <v>20.425000000000001</v>
      </c>
      <c r="D121" s="3">
        <v>47</v>
      </c>
      <c r="E121" s="3" t="s">
        <v>127</v>
      </c>
      <c r="F121" s="3" t="s">
        <v>126</v>
      </c>
      <c r="G121" s="3">
        <v>3.8160626139999998</v>
      </c>
    </row>
    <row r="122" spans="1:7" x14ac:dyDescent="0.3">
      <c r="A122" s="3" t="s">
        <v>5</v>
      </c>
      <c r="B122" s="3" t="s">
        <v>17</v>
      </c>
      <c r="C122" s="3">
        <v>12.25</v>
      </c>
      <c r="D122" s="3">
        <v>48</v>
      </c>
      <c r="E122" s="3" t="s">
        <v>127</v>
      </c>
      <c r="F122" s="3" t="s">
        <v>126</v>
      </c>
      <c r="G122" s="3">
        <v>3.617651945</v>
      </c>
    </row>
    <row r="123" spans="1:7" x14ac:dyDescent="0.3">
      <c r="A123" s="3" t="s">
        <v>5</v>
      </c>
      <c r="B123" s="3" t="s">
        <v>17</v>
      </c>
      <c r="C123" s="3">
        <v>7.7820512820000003</v>
      </c>
      <c r="D123" s="3">
        <v>49</v>
      </c>
      <c r="E123" s="3" t="s">
        <v>127</v>
      </c>
      <c r="F123" s="3" t="s">
        <v>126</v>
      </c>
      <c r="G123" s="3">
        <v>3.4898811489999999</v>
      </c>
    </row>
    <row r="124" spans="1:7" x14ac:dyDescent="0.3">
      <c r="A124" s="3" t="s">
        <v>5</v>
      </c>
      <c r="B124" s="3" t="s">
        <v>17</v>
      </c>
      <c r="C124" s="3">
        <v>10.074999999999999</v>
      </c>
      <c r="D124" s="3">
        <v>50</v>
      </c>
      <c r="E124" s="3" t="s">
        <v>127</v>
      </c>
      <c r="F124" s="3" t="s">
        <v>126</v>
      </c>
      <c r="G124" s="3">
        <v>3.557488626</v>
      </c>
    </row>
    <row r="125" spans="1:7" x14ac:dyDescent="0.3">
      <c r="A125" s="3" t="s">
        <v>5</v>
      </c>
      <c r="B125" s="3" t="s">
        <v>17</v>
      </c>
      <c r="C125" s="3">
        <v>1.7051282050000001</v>
      </c>
      <c r="D125" s="3">
        <v>51</v>
      </c>
      <c r="E125" s="3" t="s">
        <v>127</v>
      </c>
      <c r="F125" s="3" t="s">
        <v>126</v>
      </c>
      <c r="G125" s="3">
        <v>3.2848556150000001</v>
      </c>
    </row>
    <row r="126" spans="1:7" x14ac:dyDescent="0.3">
      <c r="A126" s="3" t="s">
        <v>5</v>
      </c>
      <c r="B126" s="3" t="s">
        <v>17</v>
      </c>
      <c r="C126" s="3">
        <v>2.9624999999999999</v>
      </c>
      <c r="D126" s="3">
        <v>52</v>
      </c>
      <c r="E126" s="3" t="s">
        <v>127</v>
      </c>
      <c r="F126" s="3" t="s">
        <v>126</v>
      </c>
      <c r="G126" s="3">
        <v>3.330864327</v>
      </c>
    </row>
    <row r="127" spans="1:7" x14ac:dyDescent="0.3">
      <c r="A127" s="3" t="s">
        <v>5</v>
      </c>
      <c r="B127" s="3" t="s">
        <v>17</v>
      </c>
      <c r="C127" s="3">
        <v>1.5892857140000001</v>
      </c>
      <c r="D127" s="3">
        <v>53</v>
      </c>
      <c r="E127" s="3" t="s">
        <v>127</v>
      </c>
      <c r="F127" s="3" t="s">
        <v>126</v>
      </c>
      <c r="G127" s="3">
        <v>3.2805083420000001</v>
      </c>
    </row>
    <row r="128" spans="1:7" x14ac:dyDescent="0.3">
      <c r="A128" s="3" t="s">
        <v>4</v>
      </c>
      <c r="B128" s="3" t="s">
        <v>18</v>
      </c>
      <c r="C128" s="3">
        <v>25.136363639999999</v>
      </c>
      <c r="D128" s="3">
        <v>1</v>
      </c>
      <c r="E128" s="3" t="s">
        <v>127</v>
      </c>
      <c r="F128" s="3" t="s">
        <v>126</v>
      </c>
      <c r="G128" s="3">
        <v>3.9147465659999998</v>
      </c>
    </row>
    <row r="129" spans="1:7" x14ac:dyDescent="0.3">
      <c r="A129" s="3" t="s">
        <v>4</v>
      </c>
      <c r="B129" s="3" t="s">
        <v>18</v>
      </c>
      <c r="C129" s="3">
        <v>25.887499999999999</v>
      </c>
      <c r="D129" s="3">
        <v>2</v>
      </c>
      <c r="E129" s="3" t="s">
        <v>127</v>
      </c>
      <c r="F129" s="3" t="s">
        <v>126</v>
      </c>
      <c r="G129" s="3">
        <v>3.9296173140000001</v>
      </c>
    </row>
    <row r="130" spans="1:7" x14ac:dyDescent="0.3">
      <c r="A130" s="3" t="s">
        <v>4</v>
      </c>
      <c r="B130" s="3" t="s">
        <v>18</v>
      </c>
      <c r="C130" s="3">
        <v>27</v>
      </c>
      <c r="D130" s="3">
        <v>3</v>
      </c>
      <c r="E130" s="3" t="s">
        <v>127</v>
      </c>
      <c r="F130" s="3" t="s">
        <v>126</v>
      </c>
      <c r="G130" s="3">
        <v>3.9512437189999998</v>
      </c>
    </row>
    <row r="131" spans="1:7" x14ac:dyDescent="0.3">
      <c r="A131" s="3" t="s">
        <v>4</v>
      </c>
      <c r="B131" s="3" t="s">
        <v>18</v>
      </c>
      <c r="C131" s="3">
        <v>27.75</v>
      </c>
      <c r="D131" s="3">
        <v>4</v>
      </c>
      <c r="E131" s="3" t="s">
        <v>127</v>
      </c>
      <c r="F131" s="3" t="s">
        <v>126</v>
      </c>
      <c r="G131" s="3">
        <v>3.9655637719999999</v>
      </c>
    </row>
    <row r="132" spans="1:7" x14ac:dyDescent="0.3">
      <c r="A132" s="3" t="s">
        <v>4</v>
      </c>
      <c r="B132" s="3" t="s">
        <v>18</v>
      </c>
      <c r="C132" s="3">
        <v>27.435897440000002</v>
      </c>
      <c r="D132" s="3">
        <v>5</v>
      </c>
      <c r="E132" s="3" t="s">
        <v>127</v>
      </c>
      <c r="F132" s="3" t="s">
        <v>126</v>
      </c>
      <c r="G132" s="3">
        <v>3.9595914219999999</v>
      </c>
    </row>
    <row r="133" spans="1:7" x14ac:dyDescent="0.3">
      <c r="A133" s="3" t="s">
        <v>4</v>
      </c>
      <c r="B133" s="3" t="s">
        <v>18</v>
      </c>
      <c r="C133" s="3">
        <v>32.225000000000001</v>
      </c>
      <c r="D133" s="3">
        <v>6</v>
      </c>
      <c r="E133" s="3" t="s">
        <v>127</v>
      </c>
      <c r="F133" s="3" t="s">
        <v>126</v>
      </c>
      <c r="G133" s="3">
        <v>4.0469908659999998</v>
      </c>
    </row>
    <row r="134" spans="1:7" x14ac:dyDescent="0.3">
      <c r="A134" s="3" t="s">
        <v>4</v>
      </c>
      <c r="B134" s="3" t="s">
        <v>18</v>
      </c>
      <c r="C134" s="3">
        <v>33.794871790000002</v>
      </c>
      <c r="D134" s="3">
        <v>7</v>
      </c>
      <c r="E134" s="3" t="s">
        <v>127</v>
      </c>
      <c r="F134" s="3" t="s">
        <v>126</v>
      </c>
      <c r="G134" s="3">
        <v>4.0740546369999997</v>
      </c>
    </row>
    <row r="135" spans="1:7" x14ac:dyDescent="0.3">
      <c r="A135" s="3" t="s">
        <v>4</v>
      </c>
      <c r="B135" s="3" t="s">
        <v>18</v>
      </c>
      <c r="C135" s="3">
        <v>3.4249999999999998</v>
      </c>
      <c r="D135" s="3">
        <v>8</v>
      </c>
      <c r="E135" s="3" t="s">
        <v>127</v>
      </c>
      <c r="F135" s="3" t="s">
        <v>126</v>
      </c>
      <c r="G135" s="3">
        <v>3.34726904</v>
      </c>
    </row>
    <row r="136" spans="1:7" x14ac:dyDescent="0.3">
      <c r="A136" s="3" t="s">
        <v>4</v>
      </c>
      <c r="B136" s="3" t="s">
        <v>18</v>
      </c>
      <c r="C136" s="3">
        <v>-5.5833333329999997</v>
      </c>
      <c r="D136" s="3">
        <v>9</v>
      </c>
      <c r="E136" s="3" t="s">
        <v>127</v>
      </c>
      <c r="F136" s="3" t="s">
        <v>126</v>
      </c>
      <c r="G136" s="3">
        <v>2.9661318040000002</v>
      </c>
    </row>
    <row r="137" spans="1:7" x14ac:dyDescent="0.3">
      <c r="A137" s="3" t="s">
        <v>4</v>
      </c>
      <c r="B137" s="3" t="s">
        <v>18</v>
      </c>
      <c r="C137" s="3" t="s">
        <v>10</v>
      </c>
      <c r="D137" s="3">
        <v>10</v>
      </c>
      <c r="E137" s="3" t="s">
        <v>127</v>
      </c>
      <c r="F137" s="3" t="s">
        <v>126</v>
      </c>
      <c r="G137" s="3" t="s">
        <v>10</v>
      </c>
    </row>
    <row r="138" spans="1:7" x14ac:dyDescent="0.3">
      <c r="A138" s="3" t="s">
        <v>4</v>
      </c>
      <c r="B138" s="3" t="s">
        <v>18</v>
      </c>
      <c r="C138" s="3" t="s">
        <v>10</v>
      </c>
      <c r="D138" s="3">
        <v>11</v>
      </c>
      <c r="E138" s="3" t="s">
        <v>127</v>
      </c>
      <c r="F138" s="3" t="s">
        <v>126</v>
      </c>
      <c r="G138" s="3" t="s">
        <v>10</v>
      </c>
    </row>
    <row r="139" spans="1:7" x14ac:dyDescent="0.3">
      <c r="A139" s="3" t="s">
        <v>4</v>
      </c>
      <c r="B139" s="3" t="s">
        <v>18</v>
      </c>
      <c r="C139" s="3" t="s">
        <v>10</v>
      </c>
      <c r="D139" s="3">
        <v>12</v>
      </c>
      <c r="E139" s="3" t="s">
        <v>127</v>
      </c>
      <c r="F139" s="3" t="s">
        <v>126</v>
      </c>
      <c r="G139" s="3" t="s">
        <v>10</v>
      </c>
    </row>
    <row r="140" spans="1:7" x14ac:dyDescent="0.3">
      <c r="A140" s="3" t="s">
        <v>4</v>
      </c>
      <c r="B140" s="3" t="s">
        <v>18</v>
      </c>
      <c r="C140" s="3" t="s">
        <v>10</v>
      </c>
      <c r="D140" s="3">
        <v>13</v>
      </c>
      <c r="E140" s="3" t="s">
        <v>127</v>
      </c>
      <c r="F140" s="3" t="s">
        <v>126</v>
      </c>
      <c r="G140" s="3" t="s">
        <v>10</v>
      </c>
    </row>
    <row r="141" spans="1:7" x14ac:dyDescent="0.3">
      <c r="A141" s="3" t="s">
        <v>4</v>
      </c>
      <c r="B141" s="3" t="s">
        <v>18</v>
      </c>
      <c r="C141" s="3" t="s">
        <v>10</v>
      </c>
      <c r="D141" s="3">
        <v>14</v>
      </c>
      <c r="E141" s="3" t="s">
        <v>127</v>
      </c>
      <c r="F141" s="3" t="s">
        <v>126</v>
      </c>
      <c r="G141" s="3" t="s">
        <v>10</v>
      </c>
    </row>
    <row r="142" spans="1:7" x14ac:dyDescent="0.3">
      <c r="A142" s="3" t="s">
        <v>4</v>
      </c>
      <c r="B142" s="3" t="s">
        <v>18</v>
      </c>
      <c r="C142" s="3">
        <v>25.05</v>
      </c>
      <c r="D142" s="3">
        <v>47</v>
      </c>
      <c r="E142" s="3" t="s">
        <v>127</v>
      </c>
      <c r="F142" s="3" t="s">
        <v>126</v>
      </c>
      <c r="G142" s="3">
        <v>3.9130225059999999</v>
      </c>
    </row>
    <row r="143" spans="1:7" x14ac:dyDescent="0.3">
      <c r="A143" s="3" t="s">
        <v>4</v>
      </c>
      <c r="B143" s="3" t="s">
        <v>18</v>
      </c>
      <c r="C143" s="3">
        <v>28.625</v>
      </c>
      <c r="D143" s="3">
        <v>48</v>
      </c>
      <c r="E143" s="3" t="s">
        <v>127</v>
      </c>
      <c r="F143" s="3" t="s">
        <v>126</v>
      </c>
      <c r="G143" s="3">
        <v>3.9820153770000002</v>
      </c>
    </row>
    <row r="144" spans="1:7" x14ac:dyDescent="0.3">
      <c r="A144" s="3" t="s">
        <v>4</v>
      </c>
      <c r="B144" s="3" t="s">
        <v>18</v>
      </c>
      <c r="C144" s="3">
        <v>28.03846154</v>
      </c>
      <c r="D144" s="3">
        <v>49</v>
      </c>
      <c r="E144" s="3" t="s">
        <v>127</v>
      </c>
      <c r="F144" s="3" t="s">
        <v>126</v>
      </c>
      <c r="G144" s="3">
        <v>3.97101734</v>
      </c>
    </row>
    <row r="145" spans="1:7" x14ac:dyDescent="0.3">
      <c r="A145" s="3" t="s">
        <v>4</v>
      </c>
      <c r="B145" s="3" t="s">
        <v>18</v>
      </c>
      <c r="C145" s="3">
        <v>26.45</v>
      </c>
      <c r="D145" s="3">
        <v>50</v>
      </c>
      <c r="E145" s="3" t="s">
        <v>127</v>
      </c>
      <c r="F145" s="3" t="s">
        <v>126</v>
      </c>
      <c r="G145" s="3">
        <v>3.940610462</v>
      </c>
    </row>
    <row r="146" spans="1:7" x14ac:dyDescent="0.3">
      <c r="A146" s="3" t="s">
        <v>4</v>
      </c>
      <c r="B146" s="3" t="s">
        <v>18</v>
      </c>
      <c r="C146" s="3">
        <v>27.42307692</v>
      </c>
      <c r="D146" s="3">
        <v>51</v>
      </c>
      <c r="E146" s="3" t="s">
        <v>127</v>
      </c>
      <c r="F146" s="3" t="s">
        <v>126</v>
      </c>
      <c r="G146" s="3">
        <v>3.9593468939999998</v>
      </c>
    </row>
    <row r="147" spans="1:7" x14ac:dyDescent="0.3">
      <c r="A147" s="3" t="s">
        <v>4</v>
      </c>
      <c r="B147" s="3" t="s">
        <v>18</v>
      </c>
      <c r="C147" s="3">
        <v>26.137499999999999</v>
      </c>
      <c r="D147" s="3">
        <v>52</v>
      </c>
      <c r="E147" s="3" t="s">
        <v>127</v>
      </c>
      <c r="F147" s="3" t="s">
        <v>126</v>
      </c>
      <c r="G147" s="3">
        <v>3.9345180829999999</v>
      </c>
    </row>
    <row r="148" spans="1:7" x14ac:dyDescent="0.3">
      <c r="A148" s="3" t="s">
        <v>4</v>
      </c>
      <c r="B148" s="3" t="s">
        <v>18</v>
      </c>
      <c r="C148" s="3">
        <v>25.51785714</v>
      </c>
      <c r="D148" s="3">
        <v>53</v>
      </c>
      <c r="E148" s="3" t="s">
        <v>127</v>
      </c>
      <c r="F148" s="3" t="s">
        <v>126</v>
      </c>
      <c r="G148" s="3">
        <v>3.922326881</v>
      </c>
    </row>
    <row r="149" spans="1:7" x14ac:dyDescent="0.3">
      <c r="A149" s="3" t="s">
        <v>4</v>
      </c>
      <c r="B149" s="3" t="s">
        <v>14</v>
      </c>
      <c r="C149" s="3">
        <v>26.272727270000001</v>
      </c>
      <c r="D149" s="3">
        <v>1</v>
      </c>
      <c r="E149" s="3" t="s">
        <v>127</v>
      </c>
      <c r="F149" s="3" t="s">
        <v>126</v>
      </c>
      <c r="G149" s="3">
        <v>3.9371589789999999</v>
      </c>
    </row>
    <row r="150" spans="1:7" x14ac:dyDescent="0.3">
      <c r="A150" s="3" t="s">
        <v>4</v>
      </c>
      <c r="B150" s="3" t="s">
        <v>14</v>
      </c>
      <c r="C150" s="3">
        <v>27.737500000000001</v>
      </c>
      <c r="D150" s="3">
        <v>2</v>
      </c>
      <c r="E150" s="3" t="s">
        <v>127</v>
      </c>
      <c r="F150" s="3" t="s">
        <v>126</v>
      </c>
      <c r="G150" s="3">
        <v>3.965326777</v>
      </c>
    </row>
    <row r="151" spans="1:7" x14ac:dyDescent="0.3">
      <c r="A151" s="3" t="s">
        <v>4</v>
      </c>
      <c r="B151" s="3" t="s">
        <v>14</v>
      </c>
      <c r="C151" s="3">
        <v>28.03846154</v>
      </c>
      <c r="D151" s="3">
        <v>3</v>
      </c>
      <c r="E151" s="3" t="s">
        <v>127</v>
      </c>
      <c r="F151" s="3" t="s">
        <v>126</v>
      </c>
      <c r="G151" s="3">
        <v>3.97101734</v>
      </c>
    </row>
    <row r="152" spans="1:7" x14ac:dyDescent="0.3">
      <c r="A152" s="3" t="s">
        <v>4</v>
      </c>
      <c r="B152" s="3" t="s">
        <v>14</v>
      </c>
      <c r="C152" s="3">
        <v>29.237500000000001</v>
      </c>
      <c r="D152" s="3">
        <v>4</v>
      </c>
      <c r="E152" s="3" t="s">
        <v>127</v>
      </c>
      <c r="F152" s="3" t="s">
        <v>126</v>
      </c>
      <c r="G152" s="3">
        <v>3.9933725510000002</v>
      </c>
    </row>
    <row r="153" spans="1:7" x14ac:dyDescent="0.3">
      <c r="A153" s="3" t="s">
        <v>4</v>
      </c>
      <c r="B153" s="3" t="s">
        <v>14</v>
      </c>
      <c r="C153" s="3">
        <v>29.717948719999999</v>
      </c>
      <c r="D153" s="3">
        <v>5</v>
      </c>
      <c r="E153" s="3" t="s">
        <v>127</v>
      </c>
      <c r="F153" s="3" t="s">
        <v>126</v>
      </c>
      <c r="G153" s="3">
        <v>4.002191786</v>
      </c>
    </row>
    <row r="154" spans="1:7" x14ac:dyDescent="0.3">
      <c r="A154" s="3" t="s">
        <v>4</v>
      </c>
      <c r="B154" s="3" t="s">
        <v>14</v>
      </c>
      <c r="C154" s="3">
        <v>32.237499999999997</v>
      </c>
      <c r="D154" s="3">
        <v>6</v>
      </c>
      <c r="E154" s="3" t="s">
        <v>127</v>
      </c>
      <c r="F154" s="3" t="s">
        <v>126</v>
      </c>
      <c r="G154" s="3">
        <v>4.0472092780000004</v>
      </c>
    </row>
    <row r="155" spans="1:7" x14ac:dyDescent="0.3">
      <c r="A155" s="3" t="s">
        <v>4</v>
      </c>
      <c r="B155" s="3" t="s">
        <v>14</v>
      </c>
      <c r="C155" s="3">
        <v>33.243589739999997</v>
      </c>
      <c r="D155" s="3">
        <v>7</v>
      </c>
      <c r="E155" s="3" t="s">
        <v>127</v>
      </c>
      <c r="F155" s="3" t="s">
        <v>126</v>
      </c>
      <c r="G155" s="3">
        <v>4.0646340390000004</v>
      </c>
    </row>
    <row r="156" spans="1:7" x14ac:dyDescent="0.3">
      <c r="A156" s="3" t="s">
        <v>4</v>
      </c>
      <c r="B156" s="3" t="s">
        <v>14</v>
      </c>
      <c r="C156" s="3">
        <v>31.3</v>
      </c>
      <c r="D156" s="3">
        <v>8</v>
      </c>
      <c r="E156" s="3" t="s">
        <v>127</v>
      </c>
      <c r="F156" s="3" t="s">
        <v>126</v>
      </c>
      <c r="G156" s="3">
        <v>4.0306945350000003</v>
      </c>
    </row>
    <row r="157" spans="1:7" x14ac:dyDescent="0.3">
      <c r="A157" s="3" t="s">
        <v>4</v>
      </c>
      <c r="B157" s="3" t="s">
        <v>14</v>
      </c>
      <c r="C157" s="3">
        <v>30.589743590000001</v>
      </c>
      <c r="D157" s="3">
        <v>9</v>
      </c>
      <c r="E157" s="3" t="s">
        <v>127</v>
      </c>
      <c r="F157" s="3" t="s">
        <v>126</v>
      </c>
      <c r="G157" s="3">
        <v>4.0179987160000001</v>
      </c>
    </row>
    <row r="158" spans="1:7" x14ac:dyDescent="0.3">
      <c r="A158" s="3" t="s">
        <v>4</v>
      </c>
      <c r="B158" s="3" t="s">
        <v>14</v>
      </c>
      <c r="C158" s="3">
        <v>32.962499999999999</v>
      </c>
      <c r="D158" s="3">
        <v>10</v>
      </c>
      <c r="E158" s="3" t="s">
        <v>127</v>
      </c>
      <c r="F158" s="3" t="s">
        <v>126</v>
      </c>
      <c r="G158" s="3">
        <v>4.0597962499999998</v>
      </c>
    </row>
    <row r="159" spans="1:7" x14ac:dyDescent="0.3">
      <c r="A159" s="3" t="s">
        <v>4</v>
      </c>
      <c r="B159" s="3" t="s">
        <v>14</v>
      </c>
      <c r="C159" s="3">
        <v>35.112499999999997</v>
      </c>
      <c r="D159" s="3">
        <v>11</v>
      </c>
      <c r="E159" s="3" t="s">
        <v>127</v>
      </c>
      <c r="F159" s="3" t="s">
        <v>126</v>
      </c>
      <c r="G159" s="3">
        <v>4.0962178070000004</v>
      </c>
    </row>
    <row r="160" spans="1:7" x14ac:dyDescent="0.3">
      <c r="A160" s="3" t="s">
        <v>4</v>
      </c>
      <c r="B160" s="3" t="s">
        <v>14</v>
      </c>
      <c r="C160" s="3">
        <v>35.025641030000003</v>
      </c>
      <c r="D160" s="3">
        <v>12</v>
      </c>
      <c r="E160" s="3" t="s">
        <v>127</v>
      </c>
      <c r="F160" s="3" t="s">
        <v>126</v>
      </c>
      <c r="G160" s="3">
        <v>4.0947718210000001</v>
      </c>
    </row>
    <row r="161" spans="1:7" x14ac:dyDescent="0.3">
      <c r="A161" s="3" t="s">
        <v>4</v>
      </c>
      <c r="B161" s="3" t="s">
        <v>14</v>
      </c>
      <c r="C161" s="3">
        <v>35.294871790000002</v>
      </c>
      <c r="D161" s="3">
        <v>13</v>
      </c>
      <c r="E161" s="3" t="s">
        <v>127</v>
      </c>
      <c r="F161" s="3" t="s">
        <v>126</v>
      </c>
      <c r="G161" s="3">
        <v>4.0992470550000002</v>
      </c>
    </row>
    <row r="162" spans="1:7" x14ac:dyDescent="0.3">
      <c r="A162" s="3" t="s">
        <v>4</v>
      </c>
      <c r="B162" s="3" t="s">
        <v>14</v>
      </c>
      <c r="C162" s="3">
        <v>33.352941180000002</v>
      </c>
      <c r="D162" s="3">
        <v>14</v>
      </c>
      <c r="E162" s="3" t="s">
        <v>127</v>
      </c>
      <c r="F162" s="3" t="s">
        <v>126</v>
      </c>
      <c r="G162" s="3">
        <v>4.066509763</v>
      </c>
    </row>
    <row r="163" spans="1:7" x14ac:dyDescent="0.3">
      <c r="A163" s="3" t="s">
        <v>4</v>
      </c>
      <c r="B163" s="3" t="s">
        <v>14</v>
      </c>
      <c r="C163" s="3">
        <v>24.824999999999999</v>
      </c>
      <c r="D163" s="3">
        <v>47</v>
      </c>
      <c r="E163" s="3" t="s">
        <v>127</v>
      </c>
      <c r="F163" s="3" t="s">
        <v>126</v>
      </c>
      <c r="G163" s="3">
        <v>3.9085168659999998</v>
      </c>
    </row>
    <row r="164" spans="1:7" x14ac:dyDescent="0.3">
      <c r="A164" s="3" t="s">
        <v>4</v>
      </c>
      <c r="B164" s="3" t="s">
        <v>14</v>
      </c>
      <c r="C164" s="3">
        <v>28.712499999999999</v>
      </c>
      <c r="D164" s="3">
        <v>48</v>
      </c>
      <c r="E164" s="3" t="s">
        <v>127</v>
      </c>
      <c r="F164" s="3" t="s">
        <v>126</v>
      </c>
      <c r="G164" s="3">
        <v>3.9836457489999999</v>
      </c>
    </row>
    <row r="165" spans="1:7" x14ac:dyDescent="0.3">
      <c r="A165" s="3" t="s">
        <v>4</v>
      </c>
      <c r="B165" s="3" t="s">
        <v>14</v>
      </c>
      <c r="C165" s="3">
        <v>29.025641029999999</v>
      </c>
      <c r="D165" s="3">
        <v>49</v>
      </c>
      <c r="E165" s="3" t="s">
        <v>127</v>
      </c>
      <c r="F165" s="3" t="s">
        <v>126</v>
      </c>
      <c r="G165" s="3">
        <v>3.989458768</v>
      </c>
    </row>
    <row r="166" spans="1:7" x14ac:dyDescent="0.3">
      <c r="A166" s="3" t="s">
        <v>4</v>
      </c>
      <c r="B166" s="3" t="s">
        <v>14</v>
      </c>
      <c r="C166" s="3">
        <v>28.887499999999999</v>
      </c>
      <c r="D166" s="3">
        <v>50</v>
      </c>
      <c r="E166" s="3" t="s">
        <v>127</v>
      </c>
      <c r="F166" s="3" t="s">
        <v>126</v>
      </c>
      <c r="G166" s="3">
        <v>3.9868985399999999</v>
      </c>
    </row>
    <row r="167" spans="1:7" x14ac:dyDescent="0.3">
      <c r="A167" s="3" t="s">
        <v>4</v>
      </c>
      <c r="B167" s="3" t="s">
        <v>14</v>
      </c>
      <c r="C167" s="3">
        <v>28.371794869999999</v>
      </c>
      <c r="D167" s="3">
        <v>51</v>
      </c>
      <c r="E167" s="3" t="s">
        <v>127</v>
      </c>
      <c r="F167" s="3" t="s">
        <v>126</v>
      </c>
      <c r="G167" s="3">
        <v>3.9772824199999999</v>
      </c>
    </row>
    <row r="168" spans="1:7" x14ac:dyDescent="0.3">
      <c r="A168" s="3" t="s">
        <v>4</v>
      </c>
      <c r="B168" s="3" t="s">
        <v>14</v>
      </c>
      <c r="C168" s="3">
        <v>28.45</v>
      </c>
      <c r="D168" s="3">
        <v>52</v>
      </c>
      <c r="E168" s="3" t="s">
        <v>127</v>
      </c>
      <c r="F168" s="3" t="s">
        <v>126</v>
      </c>
      <c r="G168" s="3">
        <v>3.978746637</v>
      </c>
    </row>
    <row r="169" spans="1:7" x14ac:dyDescent="0.3">
      <c r="A169" s="3" t="s">
        <v>4</v>
      </c>
      <c r="B169" s="3" t="s">
        <v>14</v>
      </c>
      <c r="C169" s="3">
        <v>28.321428569999998</v>
      </c>
      <c r="D169" s="3">
        <v>53</v>
      </c>
      <c r="E169" s="3" t="s">
        <v>127</v>
      </c>
      <c r="F169" s="3" t="s">
        <v>126</v>
      </c>
      <c r="G169" s="3">
        <v>3.9763382869999999</v>
      </c>
    </row>
    <row r="170" spans="1:7" x14ac:dyDescent="0.3">
      <c r="A170" s="3" t="s">
        <v>4</v>
      </c>
      <c r="B170" s="3" t="s">
        <v>16</v>
      </c>
      <c r="C170" s="3">
        <v>29.90909091</v>
      </c>
      <c r="D170" s="3">
        <v>1</v>
      </c>
      <c r="E170" s="3" t="s">
        <v>127</v>
      </c>
      <c r="F170" s="3" t="s">
        <v>126</v>
      </c>
      <c r="G170" s="3">
        <v>4.0056789249999998</v>
      </c>
    </row>
    <row r="171" spans="1:7" x14ac:dyDescent="0.3">
      <c r="A171" s="3" t="s">
        <v>4</v>
      </c>
      <c r="B171" s="3" t="s">
        <v>16</v>
      </c>
      <c r="C171" s="3">
        <v>30.387499999999999</v>
      </c>
      <c r="D171" s="3">
        <v>2</v>
      </c>
      <c r="E171" s="3" t="s">
        <v>127</v>
      </c>
      <c r="F171" s="3" t="s">
        <v>126</v>
      </c>
      <c r="G171" s="3">
        <v>4.0143539370000001</v>
      </c>
    </row>
    <row r="172" spans="1:7" x14ac:dyDescent="0.3">
      <c r="A172" s="3" t="s">
        <v>4</v>
      </c>
      <c r="B172" s="3" t="s">
        <v>16</v>
      </c>
      <c r="C172" s="3">
        <v>30.337499999999999</v>
      </c>
      <c r="D172" s="3">
        <v>3</v>
      </c>
      <c r="E172" s="3" t="s">
        <v>127</v>
      </c>
      <c r="F172" s="3" t="s">
        <v>126</v>
      </c>
      <c r="G172" s="3">
        <v>4.013450798</v>
      </c>
    </row>
    <row r="173" spans="1:7" x14ac:dyDescent="0.3">
      <c r="A173" s="3" t="s">
        <v>4</v>
      </c>
      <c r="B173" s="3" t="s">
        <v>16</v>
      </c>
      <c r="C173" s="3">
        <v>30.782051280000001</v>
      </c>
      <c r="D173" s="3">
        <v>4</v>
      </c>
      <c r="E173" s="3" t="s">
        <v>127</v>
      </c>
      <c r="F173" s="3" t="s">
        <v>126</v>
      </c>
      <c r="G173" s="3">
        <v>4.0214521559999996</v>
      </c>
    </row>
    <row r="174" spans="1:7" x14ac:dyDescent="0.3">
      <c r="A174" s="3" t="s">
        <v>4</v>
      </c>
      <c r="B174" s="3" t="s">
        <v>16</v>
      </c>
      <c r="C174" s="3">
        <v>30.5625</v>
      </c>
      <c r="D174" s="3">
        <v>5</v>
      </c>
      <c r="E174" s="3" t="s">
        <v>127</v>
      </c>
      <c r="F174" s="3" t="s">
        <v>126</v>
      </c>
      <c r="G174" s="3">
        <v>4.0175085130000001</v>
      </c>
    </row>
    <row r="175" spans="1:7" x14ac:dyDescent="0.3">
      <c r="A175" s="3" t="s">
        <v>4</v>
      </c>
      <c r="B175" s="3" t="s">
        <v>16</v>
      </c>
      <c r="C175" s="3">
        <v>31.435897440000002</v>
      </c>
      <c r="D175" s="3">
        <v>6</v>
      </c>
      <c r="E175" s="3" t="s">
        <v>127</v>
      </c>
      <c r="F175" s="3" t="s">
        <v>126</v>
      </c>
      <c r="G175" s="3">
        <v>4.0331054350000004</v>
      </c>
    </row>
    <row r="176" spans="1:7" x14ac:dyDescent="0.3">
      <c r="A176" s="3" t="s">
        <v>4</v>
      </c>
      <c r="B176" s="3" t="s">
        <v>16</v>
      </c>
      <c r="C176" s="3">
        <v>32.6875</v>
      </c>
      <c r="D176" s="3">
        <v>7</v>
      </c>
      <c r="E176" s="3" t="s">
        <v>127</v>
      </c>
      <c r="F176" s="3" t="s">
        <v>126</v>
      </c>
      <c r="G176" s="3">
        <v>4.0550405119999997</v>
      </c>
    </row>
    <row r="177" spans="1:7" x14ac:dyDescent="0.3">
      <c r="A177" s="3" t="s">
        <v>4</v>
      </c>
      <c r="B177" s="3" t="s">
        <v>16</v>
      </c>
      <c r="C177" s="3">
        <v>33.858974359999998</v>
      </c>
      <c r="D177" s="3">
        <v>8</v>
      </c>
      <c r="E177" s="3" t="s">
        <v>127</v>
      </c>
      <c r="F177" s="3" t="s">
        <v>126</v>
      </c>
      <c r="G177" s="3">
        <v>4.0751443180000004</v>
      </c>
    </row>
    <row r="178" spans="1:7" x14ac:dyDescent="0.3">
      <c r="A178" s="3" t="s">
        <v>4</v>
      </c>
      <c r="B178" s="3" t="s">
        <v>16</v>
      </c>
      <c r="C178" s="3">
        <v>34.424999999999997</v>
      </c>
      <c r="D178" s="3">
        <v>9</v>
      </c>
      <c r="E178" s="3" t="s">
        <v>127</v>
      </c>
      <c r="F178" s="3" t="s">
        <v>126</v>
      </c>
      <c r="G178" s="3">
        <v>4.0847150130000003</v>
      </c>
    </row>
    <row r="179" spans="1:7" x14ac:dyDescent="0.3">
      <c r="A179" s="3" t="s">
        <v>4</v>
      </c>
      <c r="B179" s="3" t="s">
        <v>16</v>
      </c>
      <c r="C179" s="3">
        <v>34.371794870000002</v>
      </c>
      <c r="D179" s="3">
        <v>10</v>
      </c>
      <c r="E179" s="3" t="s">
        <v>127</v>
      </c>
      <c r="F179" s="3" t="s">
        <v>126</v>
      </c>
      <c r="G179" s="3">
        <v>4.0838192800000002</v>
      </c>
    </row>
    <row r="180" spans="1:7" x14ac:dyDescent="0.3">
      <c r="A180" s="3" t="s">
        <v>4</v>
      </c>
      <c r="B180" s="3" t="s">
        <v>16</v>
      </c>
      <c r="C180" s="3">
        <v>34.774999999999999</v>
      </c>
      <c r="D180" s="3">
        <v>11</v>
      </c>
      <c r="E180" s="3" t="s">
        <v>127</v>
      </c>
      <c r="F180" s="3" t="s">
        <v>126</v>
      </c>
      <c r="G180" s="3">
        <v>4.090587513</v>
      </c>
    </row>
    <row r="181" spans="1:7" x14ac:dyDescent="0.3">
      <c r="A181" s="3" t="s">
        <v>4</v>
      </c>
      <c r="B181" s="3" t="s">
        <v>16</v>
      </c>
      <c r="C181" s="3">
        <v>34.897435899999998</v>
      </c>
      <c r="D181" s="3">
        <v>12</v>
      </c>
      <c r="E181" s="3" t="s">
        <v>127</v>
      </c>
      <c r="F181" s="3" t="s">
        <v>126</v>
      </c>
      <c r="G181" s="3">
        <v>4.0926336980000002</v>
      </c>
    </row>
    <row r="182" spans="1:7" x14ac:dyDescent="0.3">
      <c r="A182" s="3" t="s">
        <v>4</v>
      </c>
      <c r="B182" s="3" t="s">
        <v>16</v>
      </c>
      <c r="C182" s="3">
        <v>35.3125</v>
      </c>
      <c r="D182" s="3">
        <v>13</v>
      </c>
      <c r="E182" s="3" t="s">
        <v>127</v>
      </c>
      <c r="F182" s="3" t="s">
        <v>126</v>
      </c>
      <c r="G182" s="3">
        <v>4.0995393790000003</v>
      </c>
    </row>
    <row r="183" spans="1:7" x14ac:dyDescent="0.3">
      <c r="A183" s="3" t="s">
        <v>4</v>
      </c>
      <c r="B183" s="3" t="s">
        <v>16</v>
      </c>
      <c r="C183" s="3">
        <v>32.970588239999998</v>
      </c>
      <c r="D183" s="3">
        <v>14</v>
      </c>
      <c r="E183" s="3" t="s">
        <v>127</v>
      </c>
      <c r="F183" s="3" t="s">
        <v>126</v>
      </c>
      <c r="G183" s="3">
        <v>4.0599357830000002</v>
      </c>
    </row>
    <row r="184" spans="1:7" x14ac:dyDescent="0.3">
      <c r="A184" s="3" t="s">
        <v>4</v>
      </c>
      <c r="B184" s="3" t="s">
        <v>16</v>
      </c>
      <c r="C184" s="3">
        <v>24.1</v>
      </c>
      <c r="D184" s="3">
        <v>47</v>
      </c>
      <c r="E184" s="3" t="s">
        <v>127</v>
      </c>
      <c r="F184" s="3" t="s">
        <v>126</v>
      </c>
      <c r="G184" s="3">
        <v>3.8938590350000002</v>
      </c>
    </row>
    <row r="185" spans="1:7" x14ac:dyDescent="0.3">
      <c r="A185" s="3" t="s">
        <v>4</v>
      </c>
      <c r="B185" s="3" t="s">
        <v>16</v>
      </c>
      <c r="C185" s="3">
        <v>27.6</v>
      </c>
      <c r="D185" s="3">
        <v>48</v>
      </c>
      <c r="E185" s="3" t="s">
        <v>127</v>
      </c>
      <c r="F185" s="3" t="s">
        <v>126</v>
      </c>
      <c r="G185" s="3">
        <v>3.9627161200000001</v>
      </c>
    </row>
    <row r="186" spans="1:7" x14ac:dyDescent="0.3">
      <c r="A186" s="3" t="s">
        <v>4</v>
      </c>
      <c r="B186" s="3" t="s">
        <v>16</v>
      </c>
      <c r="C186" s="3">
        <v>27.564102559999998</v>
      </c>
      <c r="D186" s="3">
        <v>49</v>
      </c>
      <c r="E186" s="3" t="s">
        <v>127</v>
      </c>
      <c r="F186" s="3" t="s">
        <v>126</v>
      </c>
      <c r="G186" s="3">
        <v>3.9620334260000001</v>
      </c>
    </row>
    <row r="187" spans="1:7" x14ac:dyDescent="0.3">
      <c r="A187" s="3" t="s">
        <v>4</v>
      </c>
      <c r="B187" s="3" t="s">
        <v>16</v>
      </c>
      <c r="C187" s="3">
        <v>27.112500000000001</v>
      </c>
      <c r="D187" s="3">
        <v>50</v>
      </c>
      <c r="E187" s="3" t="s">
        <v>127</v>
      </c>
      <c r="F187" s="3" t="s">
        <v>126</v>
      </c>
      <c r="G187" s="3">
        <v>3.9534048429999999</v>
      </c>
    </row>
    <row r="188" spans="1:7" x14ac:dyDescent="0.3">
      <c r="A188" s="3" t="s">
        <v>4</v>
      </c>
      <c r="B188" s="3" t="s">
        <v>16</v>
      </c>
      <c r="C188" s="3">
        <v>28.782051280000001</v>
      </c>
      <c r="D188" s="3">
        <v>51</v>
      </c>
      <c r="E188" s="3" t="s">
        <v>127</v>
      </c>
      <c r="F188" s="3" t="s">
        <v>126</v>
      </c>
      <c r="G188" s="3">
        <v>3.984939792</v>
      </c>
    </row>
    <row r="189" spans="1:7" x14ac:dyDescent="0.3">
      <c r="A189" s="3" t="s">
        <v>4</v>
      </c>
      <c r="B189" s="3" t="s">
        <v>16</v>
      </c>
      <c r="C189" s="3">
        <v>28.25</v>
      </c>
      <c r="D189" s="3">
        <v>52</v>
      </c>
      <c r="E189" s="3" t="s">
        <v>127</v>
      </c>
      <c r="F189" s="3" t="s">
        <v>126</v>
      </c>
      <c r="G189" s="3">
        <v>3.9749978050000001</v>
      </c>
    </row>
    <row r="190" spans="1:7" x14ac:dyDescent="0.3">
      <c r="A190" s="3" t="s">
        <v>4</v>
      </c>
      <c r="B190" s="3" t="s">
        <v>16</v>
      </c>
      <c r="C190" s="3">
        <v>29.23214286</v>
      </c>
      <c r="D190" s="3">
        <v>53</v>
      </c>
      <c r="E190" s="3" t="s">
        <v>127</v>
      </c>
      <c r="F190" s="3" t="s">
        <v>126</v>
      </c>
      <c r="G190" s="3">
        <v>3.9932737739999999</v>
      </c>
    </row>
    <row r="191" spans="1:7" x14ac:dyDescent="0.3">
      <c r="A191" s="3" t="s">
        <v>4</v>
      </c>
      <c r="B191" s="3" t="s">
        <v>13</v>
      </c>
      <c r="C191" s="3">
        <v>25.454545450000001</v>
      </c>
      <c r="D191" s="3">
        <v>1</v>
      </c>
      <c r="E191" s="3" t="s">
        <v>127</v>
      </c>
      <c r="F191" s="3" t="s">
        <v>126</v>
      </c>
      <c r="G191" s="3">
        <v>3.921072841</v>
      </c>
    </row>
    <row r="192" spans="1:7" x14ac:dyDescent="0.3">
      <c r="A192" s="3" t="s">
        <v>4</v>
      </c>
      <c r="B192" s="3" t="s">
        <v>13</v>
      </c>
      <c r="C192" s="3">
        <v>27.6</v>
      </c>
      <c r="D192" s="3">
        <v>2</v>
      </c>
      <c r="E192" s="3" t="s">
        <v>127</v>
      </c>
      <c r="F192" s="3" t="s">
        <v>126</v>
      </c>
      <c r="G192" s="3">
        <v>3.9627161200000001</v>
      </c>
    </row>
    <row r="193" spans="1:7" x14ac:dyDescent="0.3">
      <c r="A193" s="3" t="s">
        <v>4</v>
      </c>
      <c r="B193" s="3" t="s">
        <v>13</v>
      </c>
      <c r="C193" s="3">
        <v>26.820512820000001</v>
      </c>
      <c r="D193" s="3">
        <v>3</v>
      </c>
      <c r="E193" s="3" t="s">
        <v>127</v>
      </c>
      <c r="F193" s="3" t="s">
        <v>126</v>
      </c>
      <c r="G193" s="3">
        <v>3.9477860709999999</v>
      </c>
    </row>
    <row r="194" spans="1:7" x14ac:dyDescent="0.3">
      <c r="A194" s="3" t="s">
        <v>4</v>
      </c>
      <c r="B194" s="3" t="s">
        <v>13</v>
      </c>
      <c r="C194" s="3">
        <v>26.0625</v>
      </c>
      <c r="D194" s="3">
        <v>4</v>
      </c>
      <c r="E194" s="3" t="s">
        <v>127</v>
      </c>
      <c r="F194" s="3" t="s">
        <v>126</v>
      </c>
      <c r="G194" s="3">
        <v>3.9330503729999999</v>
      </c>
    </row>
    <row r="195" spans="1:7" x14ac:dyDescent="0.3">
      <c r="A195" s="3" t="s">
        <v>4</v>
      </c>
      <c r="B195" s="3" t="s">
        <v>13</v>
      </c>
      <c r="C195" s="3">
        <v>29.397435900000001</v>
      </c>
      <c r="D195" s="3">
        <v>5</v>
      </c>
      <c r="E195" s="3" t="s">
        <v>127</v>
      </c>
      <c r="F195" s="3" t="s">
        <v>126</v>
      </c>
      <c r="G195" s="3">
        <v>3.9963170190000001</v>
      </c>
    </row>
    <row r="196" spans="1:7" x14ac:dyDescent="0.3">
      <c r="A196" s="3" t="s">
        <v>4</v>
      </c>
      <c r="B196" s="3" t="s">
        <v>13</v>
      </c>
      <c r="C196" s="3">
        <v>30.074999999999999</v>
      </c>
      <c r="D196" s="3">
        <v>6</v>
      </c>
      <c r="E196" s="3" t="s">
        <v>127</v>
      </c>
      <c r="F196" s="3" t="s">
        <v>126</v>
      </c>
      <c r="G196" s="3">
        <v>4.0086958929999996</v>
      </c>
    </row>
    <row r="197" spans="1:7" x14ac:dyDescent="0.3">
      <c r="A197" s="3" t="s">
        <v>4</v>
      </c>
      <c r="B197" s="3" t="s">
        <v>13</v>
      </c>
      <c r="C197" s="3">
        <v>31.23076923</v>
      </c>
      <c r="D197" s="3">
        <v>7</v>
      </c>
      <c r="E197" s="3" t="s">
        <v>127</v>
      </c>
      <c r="F197" s="3" t="s">
        <v>126</v>
      </c>
      <c r="G197" s="3">
        <v>4.0294641020000004</v>
      </c>
    </row>
    <row r="198" spans="1:7" x14ac:dyDescent="0.3">
      <c r="A198" s="3" t="s">
        <v>4</v>
      </c>
      <c r="B198" s="3" t="s">
        <v>13</v>
      </c>
      <c r="C198" s="3">
        <v>10.487500000000001</v>
      </c>
      <c r="D198" s="3">
        <v>8</v>
      </c>
      <c r="E198" s="3" t="s">
        <v>127</v>
      </c>
      <c r="F198" s="3" t="s">
        <v>126</v>
      </c>
      <c r="G198" s="3">
        <v>3.5691805219999999</v>
      </c>
    </row>
    <row r="199" spans="1:7" x14ac:dyDescent="0.3">
      <c r="A199" s="3" t="s">
        <v>4</v>
      </c>
      <c r="B199" s="3" t="s">
        <v>13</v>
      </c>
      <c r="C199" s="3">
        <v>9.9625000000000004</v>
      </c>
      <c r="D199" s="3">
        <v>9</v>
      </c>
      <c r="E199" s="3" t="s">
        <v>127</v>
      </c>
      <c r="F199" s="3" t="s">
        <v>126</v>
      </c>
      <c r="G199" s="3">
        <v>3.5542760590000002</v>
      </c>
    </row>
    <row r="200" spans="1:7" x14ac:dyDescent="0.3">
      <c r="A200" s="3" t="s">
        <v>4</v>
      </c>
      <c r="B200" s="3" t="s">
        <v>13</v>
      </c>
      <c r="C200" s="3">
        <v>24.487179489999999</v>
      </c>
      <c r="D200" s="3">
        <v>10</v>
      </c>
      <c r="E200" s="3" t="s">
        <v>127</v>
      </c>
      <c r="F200" s="3" t="s">
        <v>126</v>
      </c>
      <c r="G200" s="3">
        <v>3.9017136360000002</v>
      </c>
    </row>
    <row r="201" spans="1:7" x14ac:dyDescent="0.3">
      <c r="A201" s="3" t="s">
        <v>4</v>
      </c>
      <c r="B201" s="3" t="s">
        <v>13</v>
      </c>
      <c r="C201" s="3">
        <v>30.875</v>
      </c>
      <c r="D201" s="3">
        <v>11</v>
      </c>
      <c r="E201" s="3" t="s">
        <v>127</v>
      </c>
      <c r="F201" s="3" t="s">
        <v>126</v>
      </c>
      <c r="G201" s="3">
        <v>4.023117053</v>
      </c>
    </row>
    <row r="202" spans="1:7" x14ac:dyDescent="0.3">
      <c r="A202" s="3" t="s">
        <v>4</v>
      </c>
      <c r="B202" s="3" t="s">
        <v>13</v>
      </c>
      <c r="C202" s="3">
        <v>30.948717949999999</v>
      </c>
      <c r="D202" s="3">
        <v>12</v>
      </c>
      <c r="E202" s="3" t="s">
        <v>127</v>
      </c>
      <c r="F202" s="3" t="s">
        <v>126</v>
      </c>
      <c r="G202" s="3">
        <v>4.0244355199999999</v>
      </c>
    </row>
    <row r="203" spans="1:7" x14ac:dyDescent="0.3">
      <c r="A203" s="3" t="s">
        <v>4</v>
      </c>
      <c r="B203" s="3" t="s">
        <v>13</v>
      </c>
      <c r="C203" s="3">
        <v>34.551282049999998</v>
      </c>
      <c r="D203" s="3">
        <v>13</v>
      </c>
      <c r="E203" s="3" t="s">
        <v>127</v>
      </c>
      <c r="F203" s="3" t="s">
        <v>126</v>
      </c>
      <c r="G203" s="3">
        <v>4.0868378249999999</v>
      </c>
    </row>
    <row r="204" spans="1:7" x14ac:dyDescent="0.3">
      <c r="A204" s="3" t="s">
        <v>4</v>
      </c>
      <c r="B204" s="3" t="s">
        <v>13</v>
      </c>
      <c r="C204" s="3">
        <v>32.676470590000001</v>
      </c>
      <c r="D204" s="3">
        <v>14</v>
      </c>
      <c r="E204" s="3" t="s">
        <v>127</v>
      </c>
      <c r="F204" s="3" t="s">
        <v>126</v>
      </c>
      <c r="G204" s="3">
        <v>4.054849302</v>
      </c>
    </row>
    <row r="205" spans="1:7" x14ac:dyDescent="0.3">
      <c r="A205" s="3" t="s">
        <v>4</v>
      </c>
      <c r="B205" s="3" t="s">
        <v>13</v>
      </c>
      <c r="C205" s="3">
        <v>25.7</v>
      </c>
      <c r="D205" s="3">
        <v>47</v>
      </c>
      <c r="E205" s="3" t="s">
        <v>127</v>
      </c>
      <c r="F205" s="3" t="s">
        <v>126</v>
      </c>
      <c r="G205" s="3">
        <v>3.9259259110000002</v>
      </c>
    </row>
    <row r="206" spans="1:7" x14ac:dyDescent="0.3">
      <c r="A206" s="3" t="s">
        <v>4</v>
      </c>
      <c r="B206" s="3" t="s">
        <v>13</v>
      </c>
      <c r="C206" s="3">
        <v>32.1875</v>
      </c>
      <c r="D206" s="3">
        <v>48</v>
      </c>
      <c r="E206" s="3" t="s">
        <v>127</v>
      </c>
      <c r="F206" s="3" t="s">
        <v>126</v>
      </c>
      <c r="G206" s="3">
        <v>4.046335343</v>
      </c>
    </row>
    <row r="207" spans="1:7" x14ac:dyDescent="0.3">
      <c r="A207" s="3" t="s">
        <v>4</v>
      </c>
      <c r="B207" s="3" t="s">
        <v>13</v>
      </c>
      <c r="C207" s="3">
        <v>30.474358970000001</v>
      </c>
      <c r="D207" s="3">
        <v>49</v>
      </c>
      <c r="E207" s="3" t="s">
        <v>127</v>
      </c>
      <c r="F207" s="3" t="s">
        <v>126</v>
      </c>
      <c r="G207" s="3">
        <v>4.0159209130000004</v>
      </c>
    </row>
    <row r="208" spans="1:7" x14ac:dyDescent="0.3">
      <c r="A208" s="3" t="s">
        <v>4</v>
      </c>
      <c r="B208" s="3" t="s">
        <v>13</v>
      </c>
      <c r="C208" s="3">
        <v>31.487500000000001</v>
      </c>
      <c r="D208" s="3">
        <v>50</v>
      </c>
      <c r="E208" s="3" t="s">
        <v>127</v>
      </c>
      <c r="F208" s="3" t="s">
        <v>126</v>
      </c>
      <c r="G208" s="3">
        <v>4.0340193749999997</v>
      </c>
    </row>
    <row r="209" spans="1:7" x14ac:dyDescent="0.3">
      <c r="A209" s="3" t="s">
        <v>4</v>
      </c>
      <c r="B209" s="3" t="s">
        <v>13</v>
      </c>
      <c r="C209" s="3">
        <v>29.371794869999999</v>
      </c>
      <c r="D209" s="3">
        <v>51</v>
      </c>
      <c r="E209" s="3" t="s">
        <v>127</v>
      </c>
      <c r="F209" s="3" t="s">
        <v>126</v>
      </c>
      <c r="G209" s="3">
        <v>3.9958455430000002</v>
      </c>
    </row>
    <row r="210" spans="1:7" x14ac:dyDescent="0.3">
      <c r="A210" s="3" t="s">
        <v>4</v>
      </c>
      <c r="B210" s="3" t="s">
        <v>13</v>
      </c>
      <c r="C210" s="3">
        <v>28.862500000000001</v>
      </c>
      <c r="D210" s="3">
        <v>52</v>
      </c>
      <c r="E210" s="3" t="s">
        <v>127</v>
      </c>
      <c r="F210" s="3" t="s">
        <v>126</v>
      </c>
      <c r="G210" s="3">
        <v>3.9864345029999999</v>
      </c>
    </row>
    <row r="211" spans="1:7" x14ac:dyDescent="0.3">
      <c r="A211" s="3" t="s">
        <v>4</v>
      </c>
      <c r="B211" s="3" t="s">
        <v>13</v>
      </c>
      <c r="C211" s="3">
        <v>27.303571430000002</v>
      </c>
      <c r="D211" s="3">
        <v>53</v>
      </c>
      <c r="E211" s="3" t="s">
        <v>127</v>
      </c>
      <c r="F211" s="3" t="s">
        <v>126</v>
      </c>
      <c r="G211" s="3">
        <v>3.957064656</v>
      </c>
    </row>
    <row r="212" spans="1:7" x14ac:dyDescent="0.3">
      <c r="A212" s="3" t="s">
        <v>5</v>
      </c>
      <c r="B212" s="3" t="s">
        <v>35</v>
      </c>
      <c r="C212" s="3">
        <v>29.863636360000001</v>
      </c>
      <c r="D212" s="3">
        <v>1</v>
      </c>
      <c r="E212" s="3" t="s">
        <v>53</v>
      </c>
      <c r="F212" s="3" t="s">
        <v>126</v>
      </c>
      <c r="G212" s="3">
        <v>4.0048507679999998</v>
      </c>
    </row>
    <row r="213" spans="1:7" x14ac:dyDescent="0.3">
      <c r="A213" s="3" t="s">
        <v>5</v>
      </c>
      <c r="B213" s="3" t="s">
        <v>35</v>
      </c>
      <c r="C213" s="3">
        <v>28.55</v>
      </c>
      <c r="D213" s="3">
        <v>2</v>
      </c>
      <c r="E213" s="3" t="s">
        <v>53</v>
      </c>
      <c r="F213" s="3" t="s">
        <v>126</v>
      </c>
      <c r="G213" s="3">
        <v>3.980615797</v>
      </c>
    </row>
    <row r="214" spans="1:7" x14ac:dyDescent="0.3">
      <c r="A214" s="3" t="s">
        <v>5</v>
      </c>
      <c r="B214" s="3" t="s">
        <v>35</v>
      </c>
      <c r="C214" s="3">
        <v>26.337499999999999</v>
      </c>
      <c r="D214" s="3">
        <v>3</v>
      </c>
      <c r="E214" s="3" t="s">
        <v>53</v>
      </c>
      <c r="F214" s="3" t="s">
        <v>126</v>
      </c>
      <c r="G214" s="3">
        <v>3.9384214790000001</v>
      </c>
    </row>
    <row r="215" spans="1:7" x14ac:dyDescent="0.3">
      <c r="A215" s="3" t="s">
        <v>5</v>
      </c>
      <c r="B215" s="3" t="s">
        <v>35</v>
      </c>
      <c r="C215" s="3">
        <v>28.256410259999999</v>
      </c>
      <c r="D215" s="3">
        <v>4</v>
      </c>
      <c r="E215" s="3" t="s">
        <v>53</v>
      </c>
      <c r="F215" s="3" t="s">
        <v>126</v>
      </c>
      <c r="G215" s="3">
        <v>3.9751181779999998</v>
      </c>
    </row>
    <row r="216" spans="1:7" x14ac:dyDescent="0.3">
      <c r="A216" s="3" t="s">
        <v>5</v>
      </c>
      <c r="B216" s="3" t="s">
        <v>35</v>
      </c>
      <c r="C216" s="3">
        <v>27.712499999999999</v>
      </c>
      <c r="D216" s="3">
        <v>5</v>
      </c>
      <c r="E216" s="3" t="s">
        <v>53</v>
      </c>
      <c r="F216" s="3" t="s">
        <v>126</v>
      </c>
      <c r="G216" s="3">
        <v>3.9648526190000002</v>
      </c>
    </row>
    <row r="217" spans="1:7" x14ac:dyDescent="0.3">
      <c r="A217" s="3" t="s">
        <v>5</v>
      </c>
      <c r="B217" s="3" t="s">
        <v>35</v>
      </c>
      <c r="C217" s="3">
        <v>28.705128210000002</v>
      </c>
      <c r="D217" s="3">
        <v>6</v>
      </c>
      <c r="E217" s="3" t="s">
        <v>53</v>
      </c>
      <c r="F217" s="3" t="s">
        <v>126</v>
      </c>
      <c r="G217" s="3">
        <v>3.9835084940000001</v>
      </c>
    </row>
    <row r="218" spans="1:7" x14ac:dyDescent="0.3">
      <c r="A218" s="3" t="s">
        <v>5</v>
      </c>
      <c r="B218" s="3" t="s">
        <v>35</v>
      </c>
      <c r="C218" s="3">
        <v>30.787500000000001</v>
      </c>
      <c r="D218" s="3">
        <v>7</v>
      </c>
      <c r="E218" s="3" t="s">
        <v>53</v>
      </c>
      <c r="F218" s="3" t="s">
        <v>126</v>
      </c>
      <c r="G218" s="3">
        <v>4.0215498299999997</v>
      </c>
    </row>
    <row r="219" spans="1:7" x14ac:dyDescent="0.3">
      <c r="A219" s="3" t="s">
        <v>5</v>
      </c>
      <c r="B219" s="3" t="s">
        <v>35</v>
      </c>
      <c r="C219" s="3">
        <v>21.03846154</v>
      </c>
      <c r="D219" s="3">
        <v>8</v>
      </c>
      <c r="E219" s="3" t="s">
        <v>53</v>
      </c>
      <c r="F219" s="3" t="s">
        <v>126</v>
      </c>
      <c r="G219" s="3">
        <v>3.8294771679999999</v>
      </c>
    </row>
    <row r="220" spans="1:7" x14ac:dyDescent="0.3">
      <c r="A220" s="3" t="s">
        <v>5</v>
      </c>
      <c r="B220" s="3" t="s">
        <v>35</v>
      </c>
      <c r="C220" s="3">
        <v>29.8</v>
      </c>
      <c r="D220" s="3">
        <v>9</v>
      </c>
      <c r="E220" s="3" t="s">
        <v>53</v>
      </c>
      <c r="F220" s="3" t="s">
        <v>126</v>
      </c>
      <c r="G220" s="3">
        <v>4.0036901939999998</v>
      </c>
    </row>
    <row r="221" spans="1:7" x14ac:dyDescent="0.3">
      <c r="A221" s="3" t="s">
        <v>5</v>
      </c>
      <c r="B221" s="3" t="s">
        <v>35</v>
      </c>
      <c r="C221" s="3">
        <v>31.820512820000001</v>
      </c>
      <c r="D221" s="3">
        <v>10</v>
      </c>
      <c r="E221" s="3" t="s">
        <v>53</v>
      </c>
      <c r="F221" s="3" t="s">
        <v>126</v>
      </c>
      <c r="G221" s="3">
        <v>4.0398974020000002</v>
      </c>
    </row>
    <row r="222" spans="1:7" x14ac:dyDescent="0.3">
      <c r="A222" s="3" t="s">
        <v>5</v>
      </c>
      <c r="B222" s="3" t="s">
        <v>35</v>
      </c>
      <c r="C222" s="3">
        <v>33.462499999999999</v>
      </c>
      <c r="D222" s="3">
        <v>11</v>
      </c>
      <c r="E222" s="3" t="s">
        <v>53</v>
      </c>
      <c r="F222" s="3" t="s">
        <v>126</v>
      </c>
      <c r="G222" s="3">
        <v>4.0683855229999999</v>
      </c>
    </row>
    <row r="223" spans="1:7" x14ac:dyDescent="0.3">
      <c r="A223" s="3" t="s">
        <v>5</v>
      </c>
      <c r="B223" s="3" t="s">
        <v>35</v>
      </c>
      <c r="C223" s="3">
        <v>33.371794870000002</v>
      </c>
      <c r="D223" s="3">
        <v>12</v>
      </c>
      <c r="E223" s="3" t="s">
        <v>53</v>
      </c>
      <c r="F223" s="3" t="s">
        <v>126</v>
      </c>
      <c r="G223" s="3">
        <v>4.0668328090000001</v>
      </c>
    </row>
    <row r="224" spans="1:7" x14ac:dyDescent="0.3">
      <c r="A224" s="3" t="s">
        <v>5</v>
      </c>
      <c r="B224" s="3" t="s">
        <v>35</v>
      </c>
      <c r="C224" s="3">
        <v>34.625</v>
      </c>
      <c r="D224" s="3">
        <v>13</v>
      </c>
      <c r="E224" s="3" t="s">
        <v>53</v>
      </c>
      <c r="F224" s="3" t="s">
        <v>126</v>
      </c>
      <c r="G224" s="3">
        <v>4.0880749490000001</v>
      </c>
    </row>
    <row r="225" spans="1:7" x14ac:dyDescent="0.3">
      <c r="A225" s="3" t="s">
        <v>5</v>
      </c>
      <c r="B225" s="3" t="s">
        <v>35</v>
      </c>
      <c r="C225" s="3">
        <v>33.176470590000001</v>
      </c>
      <c r="D225" s="3">
        <v>14</v>
      </c>
      <c r="E225" s="3" t="s">
        <v>53</v>
      </c>
      <c r="F225" s="3" t="s">
        <v>126</v>
      </c>
      <c r="G225" s="3">
        <v>4.0634809880000002</v>
      </c>
    </row>
    <row r="226" spans="1:7" x14ac:dyDescent="0.3">
      <c r="A226" s="3" t="s">
        <v>5</v>
      </c>
      <c r="B226" s="3" t="s">
        <v>35</v>
      </c>
      <c r="C226" s="3">
        <v>24.85</v>
      </c>
      <c r="D226" s="3">
        <v>47</v>
      </c>
      <c r="E226" s="3" t="s">
        <v>53</v>
      </c>
      <c r="F226" s="3" t="s">
        <v>126</v>
      </c>
      <c r="G226" s="3">
        <v>3.9090184959999998</v>
      </c>
    </row>
    <row r="227" spans="1:7" x14ac:dyDescent="0.3">
      <c r="A227" s="3" t="s">
        <v>5</v>
      </c>
      <c r="B227" s="3" t="s">
        <v>35</v>
      </c>
      <c r="C227" s="3">
        <v>28.637499999999999</v>
      </c>
      <c r="D227" s="3">
        <v>48</v>
      </c>
      <c r="E227" s="3" t="s">
        <v>53</v>
      </c>
      <c r="F227" s="3" t="s">
        <v>126</v>
      </c>
      <c r="G227" s="3">
        <v>3.9822484500000002</v>
      </c>
    </row>
    <row r="228" spans="1:7" x14ac:dyDescent="0.3">
      <c r="A228" s="3" t="s">
        <v>5</v>
      </c>
      <c r="B228" s="3" t="s">
        <v>35</v>
      </c>
      <c r="C228" s="3">
        <v>28.5</v>
      </c>
      <c r="D228" s="3">
        <v>49</v>
      </c>
      <c r="E228" s="3" t="s">
        <v>53</v>
      </c>
      <c r="F228" s="3" t="s">
        <v>126</v>
      </c>
      <c r="G228" s="3">
        <v>3.9796816540000002</v>
      </c>
    </row>
    <row r="229" spans="1:7" x14ac:dyDescent="0.3">
      <c r="A229" s="3" t="s">
        <v>5</v>
      </c>
      <c r="B229" s="3" t="s">
        <v>35</v>
      </c>
      <c r="C229" s="3">
        <v>27.65</v>
      </c>
      <c r="D229" s="3">
        <v>50</v>
      </c>
      <c r="E229" s="3" t="s">
        <v>53</v>
      </c>
      <c r="F229" s="3" t="s">
        <v>126</v>
      </c>
      <c r="G229" s="3">
        <v>3.9636662390000001</v>
      </c>
    </row>
    <row r="230" spans="1:7" x14ac:dyDescent="0.3">
      <c r="A230" s="3" t="s">
        <v>5</v>
      </c>
      <c r="B230" s="3" t="s">
        <v>35</v>
      </c>
      <c r="C230" s="3">
        <v>28.782051280000001</v>
      </c>
      <c r="D230" s="3">
        <v>51</v>
      </c>
      <c r="E230" s="3" t="s">
        <v>53</v>
      </c>
      <c r="F230" s="3" t="s">
        <v>126</v>
      </c>
      <c r="G230" s="3">
        <v>3.984939792</v>
      </c>
    </row>
    <row r="231" spans="1:7" x14ac:dyDescent="0.3">
      <c r="A231" s="3" t="s">
        <v>5</v>
      </c>
      <c r="B231" s="3" t="s">
        <v>35</v>
      </c>
      <c r="C231" s="3">
        <v>28.25</v>
      </c>
      <c r="D231" s="3">
        <v>52</v>
      </c>
      <c r="E231" s="3" t="s">
        <v>53</v>
      </c>
      <c r="F231" s="3" t="s">
        <v>126</v>
      </c>
      <c r="G231" s="3">
        <v>3.9749978050000001</v>
      </c>
    </row>
    <row r="232" spans="1:7" x14ac:dyDescent="0.3">
      <c r="A232" s="3" t="s">
        <v>5</v>
      </c>
      <c r="B232" s="3" t="s">
        <v>35</v>
      </c>
      <c r="C232" s="3">
        <v>29.35714286</v>
      </c>
      <c r="D232" s="3">
        <v>53</v>
      </c>
      <c r="E232" s="3" t="s">
        <v>53</v>
      </c>
      <c r="F232" s="3" t="s">
        <v>126</v>
      </c>
      <c r="G232" s="3">
        <v>3.9955760279999999</v>
      </c>
    </row>
    <row r="233" spans="1:7" x14ac:dyDescent="0.3">
      <c r="A233" s="3" t="s">
        <v>4</v>
      </c>
      <c r="B233" s="3" t="s">
        <v>48</v>
      </c>
      <c r="C233" s="3">
        <v>33.18181818</v>
      </c>
      <c r="D233" s="3">
        <v>1</v>
      </c>
      <c r="E233" s="3" t="s">
        <v>56</v>
      </c>
      <c r="F233" s="3" t="s">
        <v>126</v>
      </c>
      <c r="G233" s="3">
        <v>4.0635729039999999</v>
      </c>
    </row>
    <row r="234" spans="1:7" x14ac:dyDescent="0.3">
      <c r="A234" s="3" t="s">
        <v>4</v>
      </c>
      <c r="B234" s="3" t="s">
        <v>48</v>
      </c>
      <c r="C234" s="3">
        <v>32.337499999999999</v>
      </c>
      <c r="D234" s="3">
        <v>2</v>
      </c>
      <c r="E234" s="3" t="s">
        <v>56</v>
      </c>
      <c r="F234" s="3" t="s">
        <v>126</v>
      </c>
      <c r="G234" s="3">
        <v>4.0489548600000003</v>
      </c>
    </row>
    <row r="235" spans="1:7" x14ac:dyDescent="0.3">
      <c r="A235" s="3" t="s">
        <v>4</v>
      </c>
      <c r="B235" s="3" t="s">
        <v>48</v>
      </c>
      <c r="C235" s="3">
        <v>31.705128210000002</v>
      </c>
      <c r="D235" s="3">
        <v>3</v>
      </c>
      <c r="E235" s="3" t="s">
        <v>56</v>
      </c>
      <c r="F235" s="3" t="s">
        <v>126</v>
      </c>
      <c r="G235" s="3">
        <v>4.0378646509999996</v>
      </c>
    </row>
    <row r="236" spans="1:7" x14ac:dyDescent="0.3">
      <c r="A236" s="3" t="s">
        <v>4</v>
      </c>
      <c r="B236" s="3" t="s">
        <v>48</v>
      </c>
      <c r="C236" s="3">
        <v>31.0625</v>
      </c>
      <c r="D236" s="3">
        <v>4</v>
      </c>
      <c r="E236" s="3" t="s">
        <v>56</v>
      </c>
      <c r="F236" s="3" t="s">
        <v>126</v>
      </c>
      <c r="G236" s="3">
        <v>4.0264671400000003</v>
      </c>
    </row>
    <row r="237" spans="1:7" x14ac:dyDescent="0.3">
      <c r="A237" s="3" t="s">
        <v>4</v>
      </c>
      <c r="B237" s="3" t="s">
        <v>48</v>
      </c>
      <c r="C237" s="3">
        <v>28.833333329999999</v>
      </c>
      <c r="D237" s="3">
        <v>5</v>
      </c>
      <c r="E237" s="3" t="s">
        <v>56</v>
      </c>
      <c r="F237" s="3" t="s">
        <v>126</v>
      </c>
      <c r="G237" s="3">
        <v>3.9858928539999998</v>
      </c>
    </row>
    <row r="238" spans="1:7" x14ac:dyDescent="0.3">
      <c r="A238" s="3" t="s">
        <v>4</v>
      </c>
      <c r="B238" s="3" t="s">
        <v>48</v>
      </c>
      <c r="C238" s="3">
        <v>30.5</v>
      </c>
      <c r="D238" s="3">
        <v>6</v>
      </c>
      <c r="E238" s="3" t="s">
        <v>56</v>
      </c>
      <c r="F238" s="3" t="s">
        <v>126</v>
      </c>
      <c r="G238" s="3">
        <v>4.0163830210000002</v>
      </c>
    </row>
    <row r="239" spans="1:7" x14ac:dyDescent="0.3">
      <c r="A239" s="3" t="s">
        <v>4</v>
      </c>
      <c r="B239" s="3" t="s">
        <v>48</v>
      </c>
      <c r="C239" s="3">
        <v>22.564102559999998</v>
      </c>
      <c r="D239" s="3">
        <v>7</v>
      </c>
      <c r="E239" s="3" t="s">
        <v>56</v>
      </c>
      <c r="F239" s="3" t="s">
        <v>126</v>
      </c>
      <c r="G239" s="3">
        <v>3.862078329</v>
      </c>
    </row>
    <row r="240" spans="1:7" x14ac:dyDescent="0.3">
      <c r="A240" s="3" t="s">
        <v>4</v>
      </c>
      <c r="B240" s="3" t="s">
        <v>48</v>
      </c>
      <c r="C240" s="3">
        <v>-1.9375</v>
      </c>
      <c r="D240" s="3">
        <v>8</v>
      </c>
      <c r="E240" s="3" t="s">
        <v>56</v>
      </c>
      <c r="F240" s="3" t="s">
        <v>126</v>
      </c>
      <c r="G240" s="3">
        <v>3.1382079219999999</v>
      </c>
    </row>
    <row r="241" spans="1:7" x14ac:dyDescent="0.3">
      <c r="A241" s="3" t="s">
        <v>4</v>
      </c>
      <c r="B241" s="3" t="s">
        <v>48</v>
      </c>
      <c r="C241" s="3">
        <v>10.56410256</v>
      </c>
      <c r="D241" s="3">
        <v>9</v>
      </c>
      <c r="E241" s="3" t="s">
        <v>56</v>
      </c>
      <c r="F241" s="3" t="s">
        <v>126</v>
      </c>
      <c r="G241" s="3">
        <v>3.5713367740000002</v>
      </c>
    </row>
    <row r="242" spans="1:7" x14ac:dyDescent="0.3">
      <c r="A242" s="3" t="s">
        <v>4</v>
      </c>
      <c r="B242" s="3" t="s">
        <v>48</v>
      </c>
      <c r="C242" s="3">
        <v>8.4499999999999993</v>
      </c>
      <c r="D242" s="3">
        <v>10</v>
      </c>
      <c r="E242" s="3" t="s">
        <v>56</v>
      </c>
      <c r="F242" s="3" t="s">
        <v>126</v>
      </c>
      <c r="G242" s="3">
        <v>3.5100517870000001</v>
      </c>
    </row>
    <row r="243" spans="1:7" x14ac:dyDescent="0.3">
      <c r="A243" s="3" t="s">
        <v>4</v>
      </c>
      <c r="B243" s="3" t="s">
        <v>48</v>
      </c>
      <c r="C243" s="3">
        <v>12.987500000000001</v>
      </c>
      <c r="D243" s="3">
        <v>11</v>
      </c>
      <c r="E243" s="3" t="s">
        <v>56</v>
      </c>
      <c r="F243" s="3" t="s">
        <v>126</v>
      </c>
      <c r="G243" s="3">
        <v>3.6372571580000002</v>
      </c>
    </row>
    <row r="244" spans="1:7" x14ac:dyDescent="0.3">
      <c r="A244" s="3" t="s">
        <v>4</v>
      </c>
      <c r="B244" s="3" t="s">
        <v>48</v>
      </c>
      <c r="C244" s="3">
        <v>5.7179487179999997</v>
      </c>
      <c r="D244" s="3">
        <v>12</v>
      </c>
      <c r="E244" s="3" t="s">
        <v>56</v>
      </c>
      <c r="F244" s="3" t="s">
        <v>126</v>
      </c>
      <c r="G244" s="3">
        <v>3.4248471330000001</v>
      </c>
    </row>
    <row r="245" spans="1:7" x14ac:dyDescent="0.3">
      <c r="A245" s="3" t="s">
        <v>4</v>
      </c>
      <c r="B245" s="3" t="s">
        <v>48</v>
      </c>
      <c r="C245" s="3">
        <v>12.756410259999999</v>
      </c>
      <c r="D245" s="3">
        <v>13</v>
      </c>
      <c r="E245" s="3" t="s">
        <v>56</v>
      </c>
      <c r="F245" s="3" t="s">
        <v>126</v>
      </c>
      <c r="G245" s="3">
        <v>3.6311552690000002</v>
      </c>
    </row>
    <row r="246" spans="1:7" x14ac:dyDescent="0.3">
      <c r="A246" s="3" t="s">
        <v>4</v>
      </c>
      <c r="B246" s="3" t="s">
        <v>48</v>
      </c>
      <c r="C246" s="3">
        <v>10.125</v>
      </c>
      <c r="D246" s="3">
        <v>14</v>
      </c>
      <c r="E246" s="3" t="s">
        <v>56</v>
      </c>
      <c r="F246" s="3" t="s">
        <v>126</v>
      </c>
      <c r="G246" s="3">
        <v>3.5589131279999999</v>
      </c>
    </row>
    <row r="247" spans="1:7" x14ac:dyDescent="0.3">
      <c r="A247" s="3" t="s">
        <v>4</v>
      </c>
      <c r="B247" s="3" t="s">
        <v>48</v>
      </c>
      <c r="C247" s="3">
        <v>29.625</v>
      </c>
      <c r="D247" s="3">
        <v>47</v>
      </c>
      <c r="E247" s="3" t="s">
        <v>56</v>
      </c>
      <c r="F247" s="3" t="s">
        <v>126</v>
      </c>
      <c r="G247" s="3">
        <v>4.0004916530000001</v>
      </c>
    </row>
    <row r="248" spans="1:7" x14ac:dyDescent="0.3">
      <c r="A248" s="3" t="s">
        <v>4</v>
      </c>
      <c r="B248" s="3" t="s">
        <v>48</v>
      </c>
      <c r="C248" s="3">
        <v>30.35</v>
      </c>
      <c r="D248" s="3">
        <v>48</v>
      </c>
      <c r="E248" s="3" t="s">
        <v>56</v>
      </c>
      <c r="F248" s="3" t="s">
        <v>126</v>
      </c>
      <c r="G248" s="3">
        <v>4.0136766589999997</v>
      </c>
    </row>
    <row r="249" spans="1:7" x14ac:dyDescent="0.3">
      <c r="A249" s="3" t="s">
        <v>4</v>
      </c>
      <c r="B249" s="3" t="s">
        <v>48</v>
      </c>
      <c r="C249" s="3">
        <v>33.102564100000002</v>
      </c>
      <c r="D249" s="3">
        <v>49</v>
      </c>
      <c r="E249" s="3" t="s">
        <v>56</v>
      </c>
      <c r="F249" s="3" t="s">
        <v>126</v>
      </c>
      <c r="G249" s="3">
        <v>4.0622097950000002</v>
      </c>
    </row>
    <row r="250" spans="1:7" x14ac:dyDescent="0.3">
      <c r="A250" s="3" t="s">
        <v>4</v>
      </c>
      <c r="B250" s="3" t="s">
        <v>48</v>
      </c>
      <c r="C250" s="3">
        <v>33.412500000000001</v>
      </c>
      <c r="D250" s="3">
        <v>50</v>
      </c>
      <c r="E250" s="3" t="s">
        <v>56</v>
      </c>
      <c r="F250" s="3" t="s">
        <v>126</v>
      </c>
      <c r="G250" s="3">
        <v>4.067529908</v>
      </c>
    </row>
    <row r="251" spans="1:7" x14ac:dyDescent="0.3">
      <c r="A251" s="3" t="s">
        <v>4</v>
      </c>
      <c r="B251" s="3" t="s">
        <v>48</v>
      </c>
      <c r="C251" s="3">
        <v>33.487179490000003</v>
      </c>
      <c r="D251" s="3">
        <v>51</v>
      </c>
      <c r="E251" s="3" t="s">
        <v>56</v>
      </c>
      <c r="F251" s="3" t="s">
        <v>126</v>
      </c>
      <c r="G251" s="3">
        <v>4.0688075760000002</v>
      </c>
    </row>
    <row r="252" spans="1:7" x14ac:dyDescent="0.3">
      <c r="A252" s="3" t="s">
        <v>4</v>
      </c>
      <c r="B252" s="3" t="s">
        <v>48</v>
      </c>
      <c r="C252" s="3">
        <v>33.674999999999997</v>
      </c>
      <c r="D252" s="3">
        <v>52</v>
      </c>
      <c r="E252" s="3" t="s">
        <v>56</v>
      </c>
      <c r="F252" s="3" t="s">
        <v>126</v>
      </c>
      <c r="G252" s="3">
        <v>4.0720137420000002</v>
      </c>
    </row>
    <row r="253" spans="1:7" x14ac:dyDescent="0.3">
      <c r="A253" s="3" t="s">
        <v>4</v>
      </c>
      <c r="B253" s="3" t="s">
        <v>48</v>
      </c>
      <c r="C253" s="3">
        <v>33.464285709999999</v>
      </c>
      <c r="D253" s="3">
        <v>53</v>
      </c>
      <c r="E253" s="3" t="s">
        <v>56</v>
      </c>
      <c r="F253" s="3" t="s">
        <v>126</v>
      </c>
      <c r="G253" s="3">
        <v>4.0684160670000002</v>
      </c>
    </row>
    <row r="254" spans="1:7" x14ac:dyDescent="0.3">
      <c r="A254" s="3" t="s">
        <v>4</v>
      </c>
      <c r="B254" s="3" t="s">
        <v>46</v>
      </c>
      <c r="C254" s="3">
        <v>31.59090909</v>
      </c>
      <c r="D254" s="3">
        <v>1</v>
      </c>
      <c r="E254" s="3" t="s">
        <v>56</v>
      </c>
      <c r="F254" s="3" t="s">
        <v>126</v>
      </c>
      <c r="G254" s="3">
        <v>4.0358483559999998</v>
      </c>
    </row>
    <row r="255" spans="1:7" x14ac:dyDescent="0.3">
      <c r="A255" s="3" t="s">
        <v>4</v>
      </c>
      <c r="B255" s="3" t="s">
        <v>46</v>
      </c>
      <c r="C255" s="3">
        <v>32.387500000000003</v>
      </c>
      <c r="D255" s="3">
        <v>2</v>
      </c>
      <c r="E255" s="3" t="s">
        <v>56</v>
      </c>
      <c r="F255" s="3" t="s">
        <v>126</v>
      </c>
      <c r="G255" s="3">
        <v>4.0498265099999999</v>
      </c>
    </row>
    <row r="256" spans="1:7" x14ac:dyDescent="0.3">
      <c r="A256" s="3" t="s">
        <v>4</v>
      </c>
      <c r="B256" s="3" t="s">
        <v>46</v>
      </c>
      <c r="C256" s="3">
        <v>32.03846154</v>
      </c>
      <c r="D256" s="3">
        <v>3</v>
      </c>
      <c r="E256" s="3" t="s">
        <v>56</v>
      </c>
      <c r="F256" s="3" t="s">
        <v>126</v>
      </c>
      <c r="G256" s="3">
        <v>4.0437258040000001</v>
      </c>
    </row>
    <row r="257" spans="1:7" x14ac:dyDescent="0.3">
      <c r="A257" s="3" t="s">
        <v>4</v>
      </c>
      <c r="B257" s="3" t="s">
        <v>46</v>
      </c>
      <c r="C257" s="3">
        <v>32.5625</v>
      </c>
      <c r="D257" s="3">
        <v>4</v>
      </c>
      <c r="E257" s="3" t="s">
        <v>56</v>
      </c>
      <c r="F257" s="3" t="s">
        <v>126</v>
      </c>
      <c r="G257" s="3">
        <v>4.0528713139999999</v>
      </c>
    </row>
    <row r="258" spans="1:7" x14ac:dyDescent="0.3">
      <c r="A258" s="3" t="s">
        <v>4</v>
      </c>
      <c r="B258" s="3" t="s">
        <v>46</v>
      </c>
      <c r="C258" s="3">
        <v>33.217948720000003</v>
      </c>
      <c r="D258" s="3">
        <v>5</v>
      </c>
      <c r="E258" s="3" t="s">
        <v>56</v>
      </c>
      <c r="F258" s="3" t="s">
        <v>126</v>
      </c>
      <c r="G258" s="3">
        <v>4.064193704</v>
      </c>
    </row>
    <row r="259" spans="1:7" x14ac:dyDescent="0.3">
      <c r="A259" s="3" t="s">
        <v>4</v>
      </c>
      <c r="B259" s="3" t="s">
        <v>46</v>
      </c>
      <c r="C259" s="3">
        <v>33.962499999999999</v>
      </c>
      <c r="D259" s="3">
        <v>6</v>
      </c>
      <c r="E259" s="3" t="s">
        <v>56</v>
      </c>
      <c r="F259" s="3" t="s">
        <v>126</v>
      </c>
      <c r="G259" s="3">
        <v>4.0769016489999998</v>
      </c>
    </row>
    <row r="260" spans="1:7" x14ac:dyDescent="0.3">
      <c r="A260" s="3" t="s">
        <v>4</v>
      </c>
      <c r="B260" s="3" t="s">
        <v>46</v>
      </c>
      <c r="C260" s="3">
        <v>34.294871790000002</v>
      </c>
      <c r="D260" s="3">
        <v>7</v>
      </c>
      <c r="E260" s="3" t="s">
        <v>56</v>
      </c>
      <c r="F260" s="3" t="s">
        <v>126</v>
      </c>
      <c r="G260" s="3">
        <v>4.0825228229999997</v>
      </c>
    </row>
    <row r="261" spans="1:7" x14ac:dyDescent="0.3">
      <c r="A261" s="3" t="s">
        <v>4</v>
      </c>
      <c r="B261" s="3" t="s">
        <v>46</v>
      </c>
      <c r="C261" s="3">
        <v>34.325000000000003</v>
      </c>
      <c r="D261" s="3">
        <v>8</v>
      </c>
      <c r="E261" s="3" t="s">
        <v>56</v>
      </c>
      <c r="F261" s="3" t="s">
        <v>126</v>
      </c>
      <c r="G261" s="3">
        <v>4.0830308019999997</v>
      </c>
    </row>
    <row r="262" spans="1:7" x14ac:dyDescent="0.3">
      <c r="A262" s="3" t="s">
        <v>4</v>
      </c>
      <c r="B262" s="3" t="s">
        <v>46</v>
      </c>
      <c r="C262" s="3">
        <v>34.294871790000002</v>
      </c>
      <c r="D262" s="3">
        <v>9</v>
      </c>
      <c r="E262" s="3" t="s">
        <v>56</v>
      </c>
      <c r="F262" s="3" t="s">
        <v>126</v>
      </c>
      <c r="G262" s="3">
        <v>4.0825228229999997</v>
      </c>
    </row>
    <row r="263" spans="1:7" x14ac:dyDescent="0.3">
      <c r="A263" s="3" t="s">
        <v>4</v>
      </c>
      <c r="B263" s="3" t="s">
        <v>46</v>
      </c>
      <c r="C263" s="3">
        <v>34.137500000000003</v>
      </c>
      <c r="D263" s="3">
        <v>10</v>
      </c>
      <c r="E263" s="3" t="s">
        <v>56</v>
      </c>
      <c r="F263" s="3" t="s">
        <v>126</v>
      </c>
      <c r="G263" s="3">
        <v>4.0798652410000003</v>
      </c>
    </row>
    <row r="264" spans="1:7" x14ac:dyDescent="0.3">
      <c r="A264" s="3" t="s">
        <v>4</v>
      </c>
      <c r="B264" s="3" t="s">
        <v>46</v>
      </c>
      <c r="C264" s="3">
        <v>34.25</v>
      </c>
      <c r="D264" s="3">
        <v>11</v>
      </c>
      <c r="E264" s="3" t="s">
        <v>56</v>
      </c>
      <c r="F264" s="3" t="s">
        <v>126</v>
      </c>
      <c r="G264" s="3">
        <v>4.0817657799999996</v>
      </c>
    </row>
    <row r="265" spans="1:7" x14ac:dyDescent="0.3">
      <c r="A265" s="3" t="s">
        <v>4</v>
      </c>
      <c r="B265" s="3" t="s">
        <v>46</v>
      </c>
      <c r="C265" s="3">
        <v>34.512820509999997</v>
      </c>
      <c r="D265" s="3">
        <v>12</v>
      </c>
      <c r="E265" s="3" t="s">
        <v>56</v>
      </c>
      <c r="F265" s="3" t="s">
        <v>126</v>
      </c>
      <c r="G265" s="3">
        <v>4.0861917600000002</v>
      </c>
    </row>
    <row r="266" spans="1:7" x14ac:dyDescent="0.3">
      <c r="A266" s="3" t="s">
        <v>4</v>
      </c>
      <c r="B266" s="3" t="s">
        <v>46</v>
      </c>
      <c r="C266" s="3">
        <v>34.717948720000003</v>
      </c>
      <c r="D266" s="3">
        <v>13</v>
      </c>
      <c r="E266" s="3" t="s">
        <v>56</v>
      </c>
      <c r="F266" s="3" t="s">
        <v>126</v>
      </c>
      <c r="G266" s="3">
        <v>4.089632624</v>
      </c>
    </row>
    <row r="267" spans="1:7" x14ac:dyDescent="0.3">
      <c r="A267" s="3" t="s">
        <v>4</v>
      </c>
      <c r="B267" s="3" t="s">
        <v>46</v>
      </c>
      <c r="C267" s="3">
        <v>34.705882350000003</v>
      </c>
      <c r="D267" s="3">
        <v>14</v>
      </c>
      <c r="E267" s="3" t="s">
        <v>56</v>
      </c>
      <c r="F267" s="3" t="s">
        <v>126</v>
      </c>
      <c r="G267" s="3">
        <v>4.0894305470000001</v>
      </c>
    </row>
    <row r="268" spans="1:7" x14ac:dyDescent="0.3">
      <c r="A268" s="3" t="s">
        <v>4</v>
      </c>
      <c r="B268" s="3" t="s">
        <v>46</v>
      </c>
      <c r="C268" s="3">
        <v>29.824999999999999</v>
      </c>
      <c r="D268" s="3">
        <v>47</v>
      </c>
      <c r="E268" s="3" t="s">
        <v>56</v>
      </c>
      <c r="F268" s="3" t="s">
        <v>126</v>
      </c>
      <c r="G268" s="3">
        <v>4.0041462939999999</v>
      </c>
    </row>
    <row r="269" spans="1:7" x14ac:dyDescent="0.3">
      <c r="A269" s="3" t="s">
        <v>4</v>
      </c>
      <c r="B269" s="3" t="s">
        <v>46</v>
      </c>
      <c r="C269" s="3">
        <v>32.125</v>
      </c>
      <c r="D269" s="3">
        <v>48</v>
      </c>
      <c r="E269" s="3" t="s">
        <v>56</v>
      </c>
      <c r="F269" s="3" t="s">
        <v>126</v>
      </c>
      <c r="G269" s="3">
        <v>4.0452418489999999</v>
      </c>
    </row>
    <row r="270" spans="1:7" x14ac:dyDescent="0.3">
      <c r="A270" s="3" t="s">
        <v>4</v>
      </c>
      <c r="B270" s="3" t="s">
        <v>46</v>
      </c>
      <c r="C270" s="3">
        <v>29.679487179999999</v>
      </c>
      <c r="D270" s="3">
        <v>49</v>
      </c>
      <c r="E270" s="3" t="s">
        <v>56</v>
      </c>
      <c r="F270" s="3" t="s">
        <v>126</v>
      </c>
      <c r="G270" s="3">
        <v>4.0014886330000001</v>
      </c>
    </row>
    <row r="271" spans="1:7" x14ac:dyDescent="0.3">
      <c r="A271" s="3" t="s">
        <v>4</v>
      </c>
      <c r="B271" s="3" t="s">
        <v>46</v>
      </c>
      <c r="C271" s="3">
        <v>30.237500000000001</v>
      </c>
      <c r="D271" s="3">
        <v>50</v>
      </c>
      <c r="E271" s="3" t="s">
        <v>56</v>
      </c>
      <c r="F271" s="3" t="s">
        <v>126</v>
      </c>
      <c r="G271" s="3">
        <v>4.0116420699999997</v>
      </c>
    </row>
    <row r="272" spans="1:7" x14ac:dyDescent="0.3">
      <c r="A272" s="3" t="s">
        <v>4</v>
      </c>
      <c r="B272" s="3" t="s">
        <v>46</v>
      </c>
      <c r="C272" s="3">
        <v>29</v>
      </c>
      <c r="D272" s="3">
        <v>51</v>
      </c>
      <c r="E272" s="3" t="s">
        <v>56</v>
      </c>
      <c r="F272" s="3" t="s">
        <v>126</v>
      </c>
      <c r="G272" s="3">
        <v>3.9889840470000002</v>
      </c>
    </row>
    <row r="273" spans="1:7" x14ac:dyDescent="0.3">
      <c r="A273" s="3" t="s">
        <v>4</v>
      </c>
      <c r="B273" s="3" t="s">
        <v>46</v>
      </c>
      <c r="C273" s="3">
        <v>26.8125</v>
      </c>
      <c r="D273" s="3">
        <v>52</v>
      </c>
      <c r="E273" s="3" t="s">
        <v>56</v>
      </c>
      <c r="F273" s="3" t="s">
        <v>126</v>
      </c>
      <c r="G273" s="3">
        <v>3.9476314330000002</v>
      </c>
    </row>
    <row r="274" spans="1:7" x14ac:dyDescent="0.3">
      <c r="A274" s="3" t="s">
        <v>4</v>
      </c>
      <c r="B274" s="3" t="s">
        <v>46</v>
      </c>
      <c r="C274" s="3">
        <v>30.35714286</v>
      </c>
      <c r="D274" s="3">
        <v>53</v>
      </c>
      <c r="E274" s="3" t="s">
        <v>56</v>
      </c>
      <c r="F274" s="3" t="s">
        <v>126</v>
      </c>
      <c r="G274" s="3">
        <v>4.0138056999999998</v>
      </c>
    </row>
    <row r="275" spans="1:7" x14ac:dyDescent="0.3">
      <c r="A275" s="3" t="s">
        <v>5</v>
      </c>
      <c r="B275" s="3" t="s">
        <v>37</v>
      </c>
      <c r="C275" s="3">
        <v>29.272727270000001</v>
      </c>
      <c r="D275" s="3">
        <v>1</v>
      </c>
      <c r="E275" s="3" t="s">
        <v>54</v>
      </c>
      <c r="F275" s="3" t="s">
        <v>126</v>
      </c>
      <c r="G275" s="3">
        <v>3.9940218409999999</v>
      </c>
    </row>
    <row r="276" spans="1:7" x14ac:dyDescent="0.3">
      <c r="A276" s="3" t="s">
        <v>5</v>
      </c>
      <c r="B276" s="3" t="s">
        <v>37</v>
      </c>
      <c r="C276" s="3">
        <v>27.962499999999999</v>
      </c>
      <c r="D276" s="3">
        <v>2</v>
      </c>
      <c r="E276" s="3" t="s">
        <v>54</v>
      </c>
      <c r="F276" s="3" t="s">
        <v>126</v>
      </c>
      <c r="G276" s="3">
        <v>3.9695841160000001</v>
      </c>
    </row>
    <row r="277" spans="1:7" x14ac:dyDescent="0.3">
      <c r="A277" s="3" t="s">
        <v>5</v>
      </c>
      <c r="B277" s="3" t="s">
        <v>37</v>
      </c>
      <c r="C277" s="3">
        <v>28.948717949999999</v>
      </c>
      <c r="D277" s="3">
        <v>3</v>
      </c>
      <c r="E277" s="3" t="s">
        <v>54</v>
      </c>
      <c r="F277" s="3" t="s">
        <v>126</v>
      </c>
      <c r="G277" s="3">
        <v>3.9880339280000001</v>
      </c>
    </row>
    <row r="278" spans="1:7" x14ac:dyDescent="0.3">
      <c r="A278" s="3" t="s">
        <v>5</v>
      </c>
      <c r="B278" s="3" t="s">
        <v>37</v>
      </c>
      <c r="C278" s="3">
        <v>30.85</v>
      </c>
      <c r="D278" s="3">
        <v>4</v>
      </c>
      <c r="E278" s="3" t="s">
        <v>54</v>
      </c>
      <c r="F278" s="3" t="s">
        <v>126</v>
      </c>
      <c r="G278" s="3">
        <v>4.0226695259999996</v>
      </c>
    </row>
    <row r="279" spans="1:7" x14ac:dyDescent="0.3">
      <c r="A279" s="3" t="s">
        <v>5</v>
      </c>
      <c r="B279" s="3" t="s">
        <v>37</v>
      </c>
      <c r="C279" s="3">
        <v>31.85</v>
      </c>
      <c r="D279" s="3">
        <v>5</v>
      </c>
      <c r="E279" s="3" t="s">
        <v>54</v>
      </c>
      <c r="F279" s="3" t="s">
        <v>126</v>
      </c>
      <c r="G279" s="3">
        <v>4.04041622</v>
      </c>
    </row>
    <row r="280" spans="1:7" x14ac:dyDescent="0.3">
      <c r="A280" s="3" t="s">
        <v>5</v>
      </c>
      <c r="B280" s="3" t="s">
        <v>37</v>
      </c>
      <c r="C280" s="3">
        <v>32.92307692</v>
      </c>
      <c r="D280" s="3">
        <v>6</v>
      </c>
      <c r="E280" s="3" t="s">
        <v>54</v>
      </c>
      <c r="F280" s="3" t="s">
        <v>126</v>
      </c>
      <c r="G280" s="3">
        <v>4.0591158700000003</v>
      </c>
    </row>
    <row r="281" spans="1:7" x14ac:dyDescent="0.3">
      <c r="A281" s="3" t="s">
        <v>5</v>
      </c>
      <c r="B281" s="3" t="s">
        <v>37</v>
      </c>
      <c r="C281" s="3">
        <v>33.15</v>
      </c>
      <c r="D281" s="3">
        <v>7</v>
      </c>
      <c r="E281" s="3" t="s">
        <v>54</v>
      </c>
      <c r="F281" s="3" t="s">
        <v>126</v>
      </c>
      <c r="G281" s="3">
        <v>4.0630258789999996</v>
      </c>
    </row>
    <row r="282" spans="1:7" x14ac:dyDescent="0.3">
      <c r="A282" s="3" t="s">
        <v>5</v>
      </c>
      <c r="B282" s="3" t="s">
        <v>37</v>
      </c>
      <c r="C282" s="3">
        <v>33.11538462</v>
      </c>
      <c r="D282" s="3">
        <v>8</v>
      </c>
      <c r="E282" s="3" t="s">
        <v>54</v>
      </c>
      <c r="F282" s="3" t="s">
        <v>126</v>
      </c>
      <c r="G282" s="3">
        <v>4.0624304240000004</v>
      </c>
    </row>
    <row r="283" spans="1:7" x14ac:dyDescent="0.3">
      <c r="A283" s="3" t="s">
        <v>5</v>
      </c>
      <c r="B283" s="3" t="s">
        <v>37</v>
      </c>
      <c r="C283" s="3">
        <v>34.162500000000001</v>
      </c>
      <c r="D283" s="3">
        <v>9</v>
      </c>
      <c r="E283" s="3" t="s">
        <v>54</v>
      </c>
      <c r="F283" s="3" t="s">
        <v>126</v>
      </c>
      <c r="G283" s="3">
        <v>4.0802878949999997</v>
      </c>
    </row>
    <row r="284" spans="1:7" x14ac:dyDescent="0.3">
      <c r="A284" s="3" t="s">
        <v>5</v>
      </c>
      <c r="B284" s="3" t="s">
        <v>37</v>
      </c>
      <c r="C284" s="3">
        <v>34.84615385</v>
      </c>
      <c r="D284" s="3">
        <v>10</v>
      </c>
      <c r="E284" s="3" t="s">
        <v>54</v>
      </c>
      <c r="F284" s="3" t="s">
        <v>126</v>
      </c>
      <c r="G284" s="3">
        <v>4.091777167</v>
      </c>
    </row>
    <row r="285" spans="1:7" x14ac:dyDescent="0.3">
      <c r="A285" s="3" t="s">
        <v>5</v>
      </c>
      <c r="B285" s="3" t="s">
        <v>37</v>
      </c>
      <c r="C285" s="3">
        <v>35.262500000000003</v>
      </c>
      <c r="D285" s="3">
        <v>11</v>
      </c>
      <c r="E285" s="3" t="s">
        <v>54</v>
      </c>
      <c r="F285" s="3" t="s">
        <v>126</v>
      </c>
      <c r="G285" s="3">
        <v>4.0987100200000004</v>
      </c>
    </row>
    <row r="286" spans="1:7" x14ac:dyDescent="0.3">
      <c r="A286" s="3" t="s">
        <v>5</v>
      </c>
      <c r="B286" s="3" t="s">
        <v>37</v>
      </c>
      <c r="C286" s="3">
        <v>35.012820509999997</v>
      </c>
      <c r="D286" s="3">
        <v>12</v>
      </c>
      <c r="E286" s="3" t="s">
        <v>54</v>
      </c>
      <c r="F286" s="3" t="s">
        <v>126</v>
      </c>
      <c r="G286" s="3">
        <v>4.0945582150000002</v>
      </c>
    </row>
    <row r="287" spans="1:7" x14ac:dyDescent="0.3">
      <c r="A287" s="3" t="s">
        <v>5</v>
      </c>
      <c r="B287" s="3" t="s">
        <v>37</v>
      </c>
      <c r="C287" s="3">
        <v>35.125</v>
      </c>
      <c r="D287" s="3">
        <v>13</v>
      </c>
      <c r="E287" s="3" t="s">
        <v>54</v>
      </c>
      <c r="F287" s="3" t="s">
        <v>126</v>
      </c>
      <c r="G287" s="3">
        <v>4.0964257279999998</v>
      </c>
    </row>
    <row r="288" spans="1:7" x14ac:dyDescent="0.3">
      <c r="A288" s="3" t="s">
        <v>5</v>
      </c>
      <c r="B288" s="3" t="s">
        <v>37</v>
      </c>
      <c r="C288" s="3">
        <v>33.46875</v>
      </c>
      <c r="D288" s="3">
        <v>14</v>
      </c>
      <c r="E288" s="3" t="s">
        <v>54</v>
      </c>
      <c r="F288" s="3" t="s">
        <v>126</v>
      </c>
      <c r="G288" s="3">
        <v>4.0684924230000004</v>
      </c>
    </row>
    <row r="289" spans="1:7" x14ac:dyDescent="0.3">
      <c r="A289" s="3" t="s">
        <v>5</v>
      </c>
      <c r="B289" s="3" t="s">
        <v>37</v>
      </c>
      <c r="C289" s="3">
        <v>25.95</v>
      </c>
      <c r="D289" s="3">
        <v>47</v>
      </c>
      <c r="E289" s="3" t="s">
        <v>54</v>
      </c>
      <c r="F289" s="3" t="s">
        <v>126</v>
      </c>
      <c r="G289" s="3">
        <v>3.9308447599999998</v>
      </c>
    </row>
    <row r="290" spans="1:7" x14ac:dyDescent="0.3">
      <c r="A290" s="3" t="s">
        <v>5</v>
      </c>
      <c r="B290" s="3" t="s">
        <v>37</v>
      </c>
      <c r="C290" s="3">
        <v>32.700000000000003</v>
      </c>
      <c r="D290" s="3">
        <v>48</v>
      </c>
      <c r="E290" s="3" t="s">
        <v>54</v>
      </c>
      <c r="F290" s="3" t="s">
        <v>126</v>
      </c>
      <c r="G290" s="3">
        <v>4.0552571740000003</v>
      </c>
    </row>
    <row r="291" spans="1:7" x14ac:dyDescent="0.3">
      <c r="A291" s="3" t="s">
        <v>5</v>
      </c>
      <c r="B291" s="3" t="s">
        <v>37</v>
      </c>
      <c r="C291" s="3">
        <v>31.141025639999999</v>
      </c>
      <c r="D291" s="3">
        <v>49</v>
      </c>
      <c r="E291" s="3" t="s">
        <v>54</v>
      </c>
      <c r="F291" s="3" t="s">
        <v>126</v>
      </c>
      <c r="G291" s="3">
        <v>4.0278668399999997</v>
      </c>
    </row>
    <row r="292" spans="1:7" x14ac:dyDescent="0.3">
      <c r="A292" s="3" t="s">
        <v>5</v>
      </c>
      <c r="B292" s="3" t="s">
        <v>37</v>
      </c>
      <c r="C292" s="3">
        <v>32.524999999999999</v>
      </c>
      <c r="D292" s="3">
        <v>50</v>
      </c>
      <c r="E292" s="3" t="s">
        <v>54</v>
      </c>
      <c r="F292" s="3" t="s">
        <v>126</v>
      </c>
      <c r="G292" s="3">
        <v>4.0522196360000002</v>
      </c>
    </row>
    <row r="293" spans="1:7" x14ac:dyDescent="0.3">
      <c r="A293" s="3" t="s">
        <v>5</v>
      </c>
      <c r="B293" s="3" t="s">
        <v>37</v>
      </c>
      <c r="C293" s="3">
        <v>31.46153846</v>
      </c>
      <c r="D293" s="3">
        <v>51</v>
      </c>
      <c r="E293" s="3" t="s">
        <v>54</v>
      </c>
      <c r="F293" s="3" t="s">
        <v>126</v>
      </c>
      <c r="G293" s="3">
        <v>4.0335596709999999</v>
      </c>
    </row>
    <row r="294" spans="1:7" x14ac:dyDescent="0.3">
      <c r="A294" s="3" t="s">
        <v>5</v>
      </c>
      <c r="B294" s="3" t="s">
        <v>37</v>
      </c>
      <c r="C294" s="3">
        <v>31.087499999999999</v>
      </c>
      <c r="D294" s="3">
        <v>52</v>
      </c>
      <c r="E294" s="3" t="s">
        <v>54</v>
      </c>
      <c r="F294" s="3" t="s">
        <v>126</v>
      </c>
      <c r="G294" s="3">
        <v>4.0269129709999998</v>
      </c>
    </row>
    <row r="295" spans="1:7" x14ac:dyDescent="0.3">
      <c r="A295" s="3" t="s">
        <v>5</v>
      </c>
      <c r="B295" s="3" t="s">
        <v>37</v>
      </c>
      <c r="C295" s="3">
        <v>30.571428569999998</v>
      </c>
      <c r="D295" s="3">
        <v>53</v>
      </c>
      <c r="E295" s="3" t="s">
        <v>54</v>
      </c>
      <c r="F295" s="3" t="s">
        <v>126</v>
      </c>
      <c r="G295" s="3">
        <v>4.0176691949999999</v>
      </c>
    </row>
    <row r="296" spans="1:7" x14ac:dyDescent="0.3">
      <c r="A296" s="3" t="s">
        <v>4</v>
      </c>
      <c r="B296" s="3" t="s">
        <v>43</v>
      </c>
      <c r="C296" s="3">
        <v>6</v>
      </c>
      <c r="D296" s="3">
        <v>1</v>
      </c>
      <c r="E296" s="3" t="s">
        <v>55</v>
      </c>
      <c r="F296" s="3" t="s">
        <v>126</v>
      </c>
      <c r="G296" s="3">
        <v>3.4339872040000001</v>
      </c>
    </row>
    <row r="297" spans="1:7" x14ac:dyDescent="0.3">
      <c r="A297" s="3" t="s">
        <v>4</v>
      </c>
      <c r="B297" s="3" t="s">
        <v>43</v>
      </c>
      <c r="C297" s="3">
        <v>7.0750000000000002</v>
      </c>
      <c r="D297" s="3">
        <v>2</v>
      </c>
      <c r="E297" s="3" t="s">
        <v>55</v>
      </c>
      <c r="F297" s="3" t="s">
        <v>126</v>
      </c>
      <c r="G297" s="3">
        <v>3.4680769109999998</v>
      </c>
    </row>
    <row r="298" spans="1:7" x14ac:dyDescent="0.3">
      <c r="A298" s="3" t="s">
        <v>4</v>
      </c>
      <c r="B298" s="3" t="s">
        <v>43</v>
      </c>
      <c r="C298" s="3">
        <v>8.615384615</v>
      </c>
      <c r="D298" s="3">
        <v>3</v>
      </c>
      <c r="E298" s="3" t="s">
        <v>55</v>
      </c>
      <c r="F298" s="3" t="s">
        <v>126</v>
      </c>
      <c r="G298" s="3">
        <v>3.514983838</v>
      </c>
    </row>
    <row r="299" spans="1:7" x14ac:dyDescent="0.3">
      <c r="A299" s="3" t="s">
        <v>4</v>
      </c>
      <c r="B299" s="3" t="s">
        <v>43</v>
      </c>
      <c r="C299" s="3">
        <v>7.4749999999999996</v>
      </c>
      <c r="D299" s="3">
        <v>4</v>
      </c>
      <c r="E299" s="3" t="s">
        <v>55</v>
      </c>
      <c r="F299" s="3" t="s">
        <v>126</v>
      </c>
      <c r="G299" s="3">
        <v>3.4804705629999999</v>
      </c>
    </row>
    <row r="300" spans="1:7" x14ac:dyDescent="0.3">
      <c r="A300" s="3" t="s">
        <v>4</v>
      </c>
      <c r="B300" s="3" t="s">
        <v>43</v>
      </c>
      <c r="C300" s="3">
        <v>4.1025641029999997</v>
      </c>
      <c r="D300" s="3">
        <v>5</v>
      </c>
      <c r="E300" s="3" t="s">
        <v>55</v>
      </c>
      <c r="F300" s="3" t="s">
        <v>126</v>
      </c>
      <c r="G300" s="3">
        <v>3.3708262840000001</v>
      </c>
    </row>
    <row r="301" spans="1:7" x14ac:dyDescent="0.3">
      <c r="A301" s="3" t="s">
        <v>4</v>
      </c>
      <c r="B301" s="3" t="s">
        <v>43</v>
      </c>
      <c r="C301" s="3">
        <v>16.45</v>
      </c>
      <c r="D301" s="3">
        <v>6</v>
      </c>
      <c r="E301" s="3" t="s">
        <v>55</v>
      </c>
      <c r="F301" s="3" t="s">
        <v>126</v>
      </c>
      <c r="G301" s="3">
        <v>3.724487882</v>
      </c>
    </row>
    <row r="302" spans="1:7" x14ac:dyDescent="0.3">
      <c r="A302" s="3" t="s">
        <v>4</v>
      </c>
      <c r="B302" s="3" t="s">
        <v>43</v>
      </c>
      <c r="C302" s="3">
        <v>11.756410259999999</v>
      </c>
      <c r="D302" s="3">
        <v>7</v>
      </c>
      <c r="E302" s="3" t="s">
        <v>55</v>
      </c>
      <c r="F302" s="3" t="s">
        <v>126</v>
      </c>
      <c r="G302" s="3">
        <v>3.6043126390000002</v>
      </c>
    </row>
    <row r="303" spans="1:7" x14ac:dyDescent="0.3">
      <c r="A303" s="3" t="s">
        <v>4</v>
      </c>
      <c r="B303" s="3" t="s">
        <v>43</v>
      </c>
      <c r="C303" s="3">
        <v>-9.9375</v>
      </c>
      <c r="D303" s="3">
        <v>8</v>
      </c>
      <c r="E303" s="3" t="s">
        <v>55</v>
      </c>
      <c r="F303" s="3" t="s">
        <v>126</v>
      </c>
      <c r="G303" s="3">
        <v>2.7122082110000001</v>
      </c>
    </row>
    <row r="304" spans="1:7" x14ac:dyDescent="0.3">
      <c r="A304" s="3" t="s">
        <v>4</v>
      </c>
      <c r="B304" s="3" t="s">
        <v>43</v>
      </c>
      <c r="C304" s="3">
        <v>8.9743589999999998E-2</v>
      </c>
      <c r="D304" s="3">
        <v>9</v>
      </c>
      <c r="E304" s="3" t="s">
        <v>55</v>
      </c>
      <c r="F304" s="3" t="s">
        <v>126</v>
      </c>
      <c r="G304" s="3">
        <v>3.2224591409999999</v>
      </c>
    </row>
    <row r="305" spans="1:7" x14ac:dyDescent="0.3">
      <c r="A305" s="3" t="s">
        <v>4</v>
      </c>
      <c r="B305" s="3" t="s">
        <v>43</v>
      </c>
      <c r="C305" s="3">
        <v>3.5375000000000001</v>
      </c>
      <c r="D305" s="3">
        <v>10</v>
      </c>
      <c r="E305" s="3" t="s">
        <v>55</v>
      </c>
      <c r="F305" s="3" t="s">
        <v>126</v>
      </c>
      <c r="G305" s="3">
        <v>3.3512190120000001</v>
      </c>
    </row>
    <row r="306" spans="1:7" x14ac:dyDescent="0.3">
      <c r="A306" s="3" t="s">
        <v>4</v>
      </c>
      <c r="B306" s="3" t="s">
        <v>43</v>
      </c>
      <c r="C306" s="3">
        <v>8.2608695650000001</v>
      </c>
      <c r="D306" s="3">
        <v>11</v>
      </c>
      <c r="E306" s="3" t="s">
        <v>55</v>
      </c>
      <c r="F306" s="3" t="s">
        <v>126</v>
      </c>
      <c r="G306" s="3">
        <v>3.504381618</v>
      </c>
    </row>
    <row r="307" spans="1:7" x14ac:dyDescent="0.3">
      <c r="A307" s="3" t="s">
        <v>4</v>
      </c>
      <c r="B307" s="3" t="s">
        <v>43</v>
      </c>
      <c r="C307" s="3" t="s">
        <v>10</v>
      </c>
      <c r="D307" s="3">
        <v>12</v>
      </c>
      <c r="E307" s="3" t="s">
        <v>55</v>
      </c>
      <c r="F307" s="3" t="s">
        <v>126</v>
      </c>
      <c r="G307" s="3" t="s">
        <v>10</v>
      </c>
    </row>
    <row r="308" spans="1:7" x14ac:dyDescent="0.3">
      <c r="A308" s="3" t="s">
        <v>4</v>
      </c>
      <c r="B308" s="3" t="s">
        <v>43</v>
      </c>
      <c r="C308" s="3" t="s">
        <v>10</v>
      </c>
      <c r="D308" s="3">
        <v>13</v>
      </c>
      <c r="E308" s="3" t="s">
        <v>55</v>
      </c>
      <c r="F308" s="3" t="s">
        <v>126</v>
      </c>
      <c r="G308" s="3" t="s">
        <v>10</v>
      </c>
    </row>
    <row r="309" spans="1:7" x14ac:dyDescent="0.3">
      <c r="A309" s="3" t="s">
        <v>4</v>
      </c>
      <c r="B309" s="3" t="s">
        <v>43</v>
      </c>
      <c r="C309" s="3" t="s">
        <v>10</v>
      </c>
      <c r="D309" s="3">
        <v>14</v>
      </c>
      <c r="E309" s="3" t="s">
        <v>55</v>
      </c>
      <c r="F309" s="3" t="s">
        <v>126</v>
      </c>
      <c r="G309" s="3" t="s">
        <v>10</v>
      </c>
    </row>
    <row r="310" spans="1:7" x14ac:dyDescent="0.3">
      <c r="A310" s="3" t="s">
        <v>4</v>
      </c>
      <c r="B310" s="3" t="s">
        <v>43</v>
      </c>
      <c r="C310" s="3">
        <v>24.55</v>
      </c>
      <c r="D310" s="3">
        <v>47</v>
      </c>
      <c r="E310" s="3" t="s">
        <v>55</v>
      </c>
      <c r="F310" s="3" t="s">
        <v>126</v>
      </c>
      <c r="G310" s="3">
        <v>3.902982261</v>
      </c>
    </row>
    <row r="311" spans="1:7" x14ac:dyDescent="0.3">
      <c r="A311" s="3" t="s">
        <v>4</v>
      </c>
      <c r="B311" s="3" t="s">
        <v>43</v>
      </c>
      <c r="C311" s="3">
        <v>18.912500000000001</v>
      </c>
      <c r="D311" s="3">
        <v>48</v>
      </c>
      <c r="E311" s="3" t="s">
        <v>55</v>
      </c>
      <c r="F311" s="3" t="s">
        <v>126</v>
      </c>
      <c r="G311" s="3">
        <v>3.782199018</v>
      </c>
    </row>
    <row r="312" spans="1:7" x14ac:dyDescent="0.3">
      <c r="A312" s="3" t="s">
        <v>4</v>
      </c>
      <c r="B312" s="3" t="s">
        <v>43</v>
      </c>
      <c r="C312" s="3">
        <v>8.9487179490000006</v>
      </c>
      <c r="D312" s="3">
        <v>49</v>
      </c>
      <c r="E312" s="3" t="s">
        <v>55</v>
      </c>
      <c r="F312" s="3" t="s">
        <v>126</v>
      </c>
      <c r="G312" s="3">
        <v>3.5248510899999999</v>
      </c>
    </row>
    <row r="313" spans="1:7" x14ac:dyDescent="0.3">
      <c r="A313" s="3" t="s">
        <v>4</v>
      </c>
      <c r="B313" s="3" t="s">
        <v>43</v>
      </c>
      <c r="C313" s="3">
        <v>14.175000000000001</v>
      </c>
      <c r="D313" s="3">
        <v>50</v>
      </c>
      <c r="E313" s="3" t="s">
        <v>55</v>
      </c>
      <c r="F313" s="3" t="s">
        <v>126</v>
      </c>
      <c r="G313" s="3">
        <v>3.6680387880000001</v>
      </c>
    </row>
    <row r="314" spans="1:7" x14ac:dyDescent="0.3">
      <c r="A314" s="3" t="s">
        <v>4</v>
      </c>
      <c r="B314" s="3" t="s">
        <v>43</v>
      </c>
      <c r="C314" s="3">
        <v>10.84615385</v>
      </c>
      <c r="D314" s="3">
        <v>51</v>
      </c>
      <c r="E314" s="3" t="s">
        <v>55</v>
      </c>
      <c r="F314" s="3" t="s">
        <v>126</v>
      </c>
      <c r="G314" s="3">
        <v>3.5792362770000001</v>
      </c>
    </row>
    <row r="315" spans="1:7" x14ac:dyDescent="0.3">
      <c r="A315" s="3" t="s">
        <v>4</v>
      </c>
      <c r="B315" s="3" t="s">
        <v>43</v>
      </c>
      <c r="C315" s="3">
        <v>10.8125</v>
      </c>
      <c r="D315" s="3">
        <v>52</v>
      </c>
      <c r="E315" s="3" t="s">
        <v>55</v>
      </c>
      <c r="F315" s="3" t="s">
        <v>126</v>
      </c>
      <c r="G315" s="3">
        <v>3.578296994</v>
      </c>
    </row>
    <row r="316" spans="1:7" x14ac:dyDescent="0.3">
      <c r="A316" s="3" t="s">
        <v>4</v>
      </c>
      <c r="B316" s="3" t="s">
        <v>43</v>
      </c>
      <c r="C316" s="3">
        <v>6.5178571429999996</v>
      </c>
      <c r="D316" s="3">
        <v>53</v>
      </c>
      <c r="E316" s="3" t="s">
        <v>55</v>
      </c>
      <c r="F316" s="3" t="s">
        <v>126</v>
      </c>
      <c r="G316" s="3">
        <v>3.4505542789999999</v>
      </c>
    </row>
    <row r="317" spans="1:7" x14ac:dyDescent="0.3">
      <c r="A317" s="3" t="s">
        <v>5</v>
      </c>
      <c r="B317" s="3" t="s">
        <v>47</v>
      </c>
      <c r="C317" s="3">
        <v>25.59090909</v>
      </c>
      <c r="D317" s="3">
        <v>1</v>
      </c>
      <c r="E317" s="3" t="s">
        <v>56</v>
      </c>
      <c r="F317" s="3" t="s">
        <v>126</v>
      </c>
      <c r="G317" s="3">
        <v>3.923771898</v>
      </c>
    </row>
    <row r="318" spans="1:7" x14ac:dyDescent="0.3">
      <c r="A318" s="3" t="s">
        <v>5</v>
      </c>
      <c r="B318" s="3" t="s">
        <v>47</v>
      </c>
      <c r="C318" s="3">
        <v>26.824999999999999</v>
      </c>
      <c r="D318" s="3">
        <v>2</v>
      </c>
      <c r="E318" s="3" t="s">
        <v>56</v>
      </c>
      <c r="F318" s="3" t="s">
        <v>126</v>
      </c>
      <c r="G318" s="3">
        <v>3.9478726580000001</v>
      </c>
    </row>
    <row r="319" spans="1:7" x14ac:dyDescent="0.3">
      <c r="A319" s="3" t="s">
        <v>5</v>
      </c>
      <c r="B319" s="3" t="s">
        <v>47</v>
      </c>
      <c r="C319" s="3">
        <v>27.435897440000002</v>
      </c>
      <c r="D319" s="3">
        <v>3</v>
      </c>
      <c r="E319" s="3" t="s">
        <v>56</v>
      </c>
      <c r="F319" s="3" t="s">
        <v>126</v>
      </c>
      <c r="G319" s="3">
        <v>3.9595914219999999</v>
      </c>
    </row>
    <row r="320" spans="1:7" x14ac:dyDescent="0.3">
      <c r="A320" s="3" t="s">
        <v>5</v>
      </c>
      <c r="B320" s="3" t="s">
        <v>47</v>
      </c>
      <c r="C320" s="3">
        <v>29.8</v>
      </c>
      <c r="D320" s="3">
        <v>4</v>
      </c>
      <c r="E320" s="3" t="s">
        <v>56</v>
      </c>
      <c r="F320" s="3" t="s">
        <v>126</v>
      </c>
      <c r="G320" s="3">
        <v>4.0036901939999998</v>
      </c>
    </row>
    <row r="321" spans="1:7" x14ac:dyDescent="0.3">
      <c r="A321" s="3" t="s">
        <v>5</v>
      </c>
      <c r="B321" s="3" t="s">
        <v>47</v>
      </c>
      <c r="C321" s="3">
        <v>28.525641029999999</v>
      </c>
      <c r="D321" s="3">
        <v>5</v>
      </c>
      <c r="E321" s="3" t="s">
        <v>56</v>
      </c>
      <c r="F321" s="3" t="s">
        <v>126</v>
      </c>
      <c r="G321" s="3">
        <v>3.9801608110000002</v>
      </c>
    </row>
    <row r="322" spans="1:7" x14ac:dyDescent="0.3">
      <c r="A322" s="3" t="s">
        <v>5</v>
      </c>
      <c r="B322" s="3" t="s">
        <v>47</v>
      </c>
      <c r="C322" s="3">
        <v>31.8</v>
      </c>
      <c r="D322" s="3">
        <v>6</v>
      </c>
      <c r="E322" s="3" t="s">
        <v>56</v>
      </c>
      <c r="F322" s="3" t="s">
        <v>126</v>
      </c>
      <c r="G322" s="3">
        <v>4.0395363260000003</v>
      </c>
    </row>
    <row r="323" spans="1:7" x14ac:dyDescent="0.3">
      <c r="A323" s="3" t="s">
        <v>5</v>
      </c>
      <c r="B323" s="3" t="s">
        <v>47</v>
      </c>
      <c r="C323" s="3">
        <v>29.80769231</v>
      </c>
      <c r="D323" s="3">
        <v>7</v>
      </c>
      <c r="E323" s="3" t="s">
        <v>56</v>
      </c>
      <c r="F323" s="3" t="s">
        <v>126</v>
      </c>
      <c r="G323" s="3">
        <v>4.0038305550000004</v>
      </c>
    </row>
    <row r="324" spans="1:7" x14ac:dyDescent="0.3">
      <c r="A324" s="3" t="s">
        <v>5</v>
      </c>
      <c r="B324" s="3" t="s">
        <v>47</v>
      </c>
      <c r="C324" s="3">
        <v>26.837499999999999</v>
      </c>
      <c r="D324" s="3">
        <v>8</v>
      </c>
      <c r="E324" s="3" t="s">
        <v>56</v>
      </c>
      <c r="F324" s="3" t="s">
        <v>126</v>
      </c>
      <c r="G324" s="3">
        <v>3.9481138260000002</v>
      </c>
    </row>
    <row r="325" spans="1:7" x14ac:dyDescent="0.3">
      <c r="A325" s="3" t="s">
        <v>5</v>
      </c>
      <c r="B325" s="3" t="s">
        <v>47</v>
      </c>
      <c r="C325" s="3">
        <v>31.333333329999999</v>
      </c>
      <c r="D325" s="3">
        <v>9</v>
      </c>
      <c r="E325" s="3" t="s">
        <v>56</v>
      </c>
      <c r="F325" s="3" t="s">
        <v>126</v>
      </c>
      <c r="G325" s="3">
        <v>4.0312864260000003</v>
      </c>
    </row>
    <row r="326" spans="1:7" x14ac:dyDescent="0.3">
      <c r="A326" s="3" t="s">
        <v>5</v>
      </c>
      <c r="B326" s="3" t="s">
        <v>47</v>
      </c>
      <c r="C326" s="3">
        <v>33.287500000000001</v>
      </c>
      <c r="D326" s="3">
        <v>10</v>
      </c>
      <c r="E326" s="3" t="s">
        <v>56</v>
      </c>
      <c r="F326" s="3" t="s">
        <v>126</v>
      </c>
      <c r="G326" s="3">
        <v>4.065387662</v>
      </c>
    </row>
    <row r="327" spans="1:7" x14ac:dyDescent="0.3">
      <c r="A327" s="3" t="s">
        <v>5</v>
      </c>
      <c r="B327" s="3" t="s">
        <v>47</v>
      </c>
      <c r="C327" s="3">
        <v>34.4</v>
      </c>
      <c r="D327" s="3">
        <v>11</v>
      </c>
      <c r="E327" s="3" t="s">
        <v>56</v>
      </c>
      <c r="F327" s="3" t="s">
        <v>126</v>
      </c>
      <c r="G327" s="3">
        <v>4.0842942259999999</v>
      </c>
    </row>
    <row r="328" spans="1:7" x14ac:dyDescent="0.3">
      <c r="A328" s="3" t="s">
        <v>5</v>
      </c>
      <c r="B328" s="3" t="s">
        <v>47</v>
      </c>
      <c r="C328" s="3">
        <v>34.589743589999998</v>
      </c>
      <c r="D328" s="3">
        <v>12</v>
      </c>
      <c r="E328" s="3" t="s">
        <v>56</v>
      </c>
      <c r="F328" s="3" t="s">
        <v>126</v>
      </c>
      <c r="G328" s="3">
        <v>4.0874834719999997</v>
      </c>
    </row>
    <row r="329" spans="1:7" x14ac:dyDescent="0.3">
      <c r="A329" s="3" t="s">
        <v>5</v>
      </c>
      <c r="B329" s="3" t="s">
        <v>47</v>
      </c>
      <c r="C329" s="3">
        <v>35.34615385</v>
      </c>
      <c r="D329" s="3">
        <v>13</v>
      </c>
      <c r="E329" s="3" t="s">
        <v>56</v>
      </c>
      <c r="F329" s="3" t="s">
        <v>126</v>
      </c>
      <c r="G329" s="3">
        <v>4.1000972149999999</v>
      </c>
    </row>
    <row r="330" spans="1:7" x14ac:dyDescent="0.3">
      <c r="A330" s="3" t="s">
        <v>5</v>
      </c>
      <c r="B330" s="3" t="s">
        <v>47</v>
      </c>
      <c r="C330" s="3">
        <v>35.08823529</v>
      </c>
      <c r="D330" s="3">
        <v>14</v>
      </c>
      <c r="E330" s="3" t="s">
        <v>56</v>
      </c>
      <c r="F330" s="3" t="s">
        <v>126</v>
      </c>
      <c r="G330" s="3">
        <v>4.0958140700000003</v>
      </c>
    </row>
    <row r="331" spans="1:7" x14ac:dyDescent="0.3">
      <c r="A331" s="3" t="s">
        <v>5</v>
      </c>
      <c r="B331" s="3" t="s">
        <v>47</v>
      </c>
      <c r="C331" s="3">
        <v>29.774999999999999</v>
      </c>
      <c r="D331" s="3">
        <v>47</v>
      </c>
      <c r="E331" s="3" t="s">
        <v>56</v>
      </c>
      <c r="F331" s="3" t="s">
        <v>126</v>
      </c>
      <c r="G331" s="3">
        <v>4.0032338850000002</v>
      </c>
    </row>
    <row r="332" spans="1:7" x14ac:dyDescent="0.3">
      <c r="A332" s="3" t="s">
        <v>5</v>
      </c>
      <c r="B332" s="3" t="s">
        <v>47</v>
      </c>
      <c r="C332" s="3">
        <v>29.6875</v>
      </c>
      <c r="D332" s="3">
        <v>48</v>
      </c>
      <c r="E332" s="3" t="s">
        <v>56</v>
      </c>
      <c r="F332" s="3" t="s">
        <v>126</v>
      </c>
      <c r="G332" s="3">
        <v>4.0016351639999996</v>
      </c>
    </row>
    <row r="333" spans="1:7" x14ac:dyDescent="0.3">
      <c r="A333" s="3" t="s">
        <v>5</v>
      </c>
      <c r="B333" s="3" t="s">
        <v>47</v>
      </c>
      <c r="C333" s="3">
        <v>28.487179489999999</v>
      </c>
      <c r="D333" s="3">
        <v>49</v>
      </c>
      <c r="E333" s="3" t="s">
        <v>56</v>
      </c>
      <c r="F333" s="3" t="s">
        <v>126</v>
      </c>
      <c r="G333" s="3">
        <v>3.9794419890000001</v>
      </c>
    </row>
    <row r="334" spans="1:7" x14ac:dyDescent="0.3">
      <c r="A334" s="3" t="s">
        <v>5</v>
      </c>
      <c r="B334" s="3" t="s">
        <v>47</v>
      </c>
      <c r="C334" s="3">
        <v>28.274999999999999</v>
      </c>
      <c r="D334" s="3">
        <v>50</v>
      </c>
      <c r="E334" s="3" t="s">
        <v>56</v>
      </c>
      <c r="F334" s="3" t="s">
        <v>126</v>
      </c>
      <c r="G334" s="3">
        <v>3.9754671780000002</v>
      </c>
    </row>
    <row r="335" spans="1:7" x14ac:dyDescent="0.3">
      <c r="A335" s="3" t="s">
        <v>5</v>
      </c>
      <c r="B335" s="3" t="s">
        <v>47</v>
      </c>
      <c r="C335" s="3">
        <v>27.128205130000001</v>
      </c>
      <c r="D335" s="3">
        <v>51</v>
      </c>
      <c r="E335" s="3" t="s">
        <v>56</v>
      </c>
      <c r="F335" s="3" t="s">
        <v>126</v>
      </c>
      <c r="G335" s="3">
        <v>3.9537061680000001</v>
      </c>
    </row>
    <row r="336" spans="1:7" x14ac:dyDescent="0.3">
      <c r="A336" s="3" t="s">
        <v>5</v>
      </c>
      <c r="B336" s="3" t="s">
        <v>47</v>
      </c>
      <c r="C336" s="3">
        <v>27.412500000000001</v>
      </c>
      <c r="D336" s="3">
        <v>52</v>
      </c>
      <c r="E336" s="3" t="s">
        <v>56</v>
      </c>
      <c r="F336" s="3" t="s">
        <v>126</v>
      </c>
      <c r="G336" s="3">
        <v>3.9591451119999999</v>
      </c>
    </row>
    <row r="337" spans="1:7" x14ac:dyDescent="0.3">
      <c r="A337" s="3" t="s">
        <v>5</v>
      </c>
      <c r="B337" s="3" t="s">
        <v>47</v>
      </c>
      <c r="C337" s="3">
        <v>26.285714290000001</v>
      </c>
      <c r="D337" s="3">
        <v>53</v>
      </c>
      <c r="E337" s="3" t="s">
        <v>56</v>
      </c>
      <c r="F337" s="3" t="s">
        <v>126</v>
      </c>
      <c r="G337" s="3">
        <v>3.93741224</v>
      </c>
    </row>
    <row r="338" spans="1:7" x14ac:dyDescent="0.3">
      <c r="A338" s="3" t="s">
        <v>4</v>
      </c>
      <c r="B338" s="3" t="s">
        <v>20</v>
      </c>
      <c r="C338" s="3">
        <v>31.545454549999999</v>
      </c>
      <c r="D338" s="3">
        <v>1</v>
      </c>
      <c r="E338" s="3" t="s">
        <v>51</v>
      </c>
      <c r="F338" s="3" t="s">
        <v>126</v>
      </c>
      <c r="G338" s="3">
        <v>4.0350448200000004</v>
      </c>
    </row>
    <row r="339" spans="1:7" x14ac:dyDescent="0.3">
      <c r="A339" s="3" t="s">
        <v>4</v>
      </c>
      <c r="B339" s="3" t="s">
        <v>20</v>
      </c>
      <c r="C339" s="3">
        <v>32.537500000000001</v>
      </c>
      <c r="D339" s="3">
        <v>2</v>
      </c>
      <c r="E339" s="3" t="s">
        <v>51</v>
      </c>
      <c r="F339" s="3" t="s">
        <v>126</v>
      </c>
      <c r="G339" s="3">
        <v>4.0524369089999999</v>
      </c>
    </row>
    <row r="340" spans="1:7" x14ac:dyDescent="0.3">
      <c r="A340" s="3" t="s">
        <v>4</v>
      </c>
      <c r="B340" s="3" t="s">
        <v>20</v>
      </c>
      <c r="C340" s="3">
        <v>33.424999999999997</v>
      </c>
      <c r="D340" s="3">
        <v>3</v>
      </c>
      <c r="E340" s="3" t="s">
        <v>51</v>
      </c>
      <c r="F340" s="3" t="s">
        <v>126</v>
      </c>
      <c r="G340" s="3">
        <v>4.0677438800000001</v>
      </c>
    </row>
    <row r="341" spans="1:7" x14ac:dyDescent="0.3">
      <c r="A341" s="3" t="s">
        <v>4</v>
      </c>
      <c r="B341" s="3" t="s">
        <v>20</v>
      </c>
      <c r="C341" s="3">
        <v>33.782051279999997</v>
      </c>
      <c r="D341" s="3">
        <v>4</v>
      </c>
      <c r="E341" s="3" t="s">
        <v>51</v>
      </c>
      <c r="F341" s="3" t="s">
        <v>126</v>
      </c>
      <c r="G341" s="3">
        <v>4.073836558</v>
      </c>
    </row>
    <row r="342" spans="1:7" x14ac:dyDescent="0.3">
      <c r="A342" s="3" t="s">
        <v>4</v>
      </c>
      <c r="B342" s="3" t="s">
        <v>20</v>
      </c>
      <c r="C342" s="3">
        <v>32.8125</v>
      </c>
      <c r="D342" s="3">
        <v>5</v>
      </c>
      <c r="E342" s="3" t="s">
        <v>51</v>
      </c>
      <c r="F342" s="3" t="s">
        <v>126</v>
      </c>
      <c r="G342" s="3">
        <v>4.0572050150000001</v>
      </c>
    </row>
    <row r="343" spans="1:7" x14ac:dyDescent="0.3">
      <c r="A343" s="3" t="s">
        <v>4</v>
      </c>
      <c r="B343" s="3" t="s">
        <v>20</v>
      </c>
      <c r="C343" s="3">
        <v>32.871794870000002</v>
      </c>
      <c r="D343" s="3">
        <v>6</v>
      </c>
      <c r="E343" s="3" t="s">
        <v>51</v>
      </c>
      <c r="F343" s="3" t="s">
        <v>126</v>
      </c>
      <c r="G343" s="3">
        <v>4.0582301310000002</v>
      </c>
    </row>
    <row r="344" spans="1:7" x14ac:dyDescent="0.3">
      <c r="A344" s="3" t="s">
        <v>4</v>
      </c>
      <c r="B344" s="3" t="s">
        <v>20</v>
      </c>
      <c r="C344" s="3">
        <v>32.174999999999997</v>
      </c>
      <c r="D344" s="3">
        <v>7</v>
      </c>
      <c r="E344" s="3" t="s">
        <v>51</v>
      </c>
      <c r="F344" s="3" t="s">
        <v>126</v>
      </c>
      <c r="G344" s="3">
        <v>4.0461167400000004</v>
      </c>
    </row>
    <row r="345" spans="1:7" x14ac:dyDescent="0.3">
      <c r="A345" s="3" t="s">
        <v>4</v>
      </c>
      <c r="B345" s="3" t="s">
        <v>20</v>
      </c>
      <c r="C345" s="3">
        <v>31.974358970000001</v>
      </c>
      <c r="D345" s="3">
        <v>8</v>
      </c>
      <c r="E345" s="3" t="s">
        <v>51</v>
      </c>
      <c r="F345" s="3" t="s">
        <v>126</v>
      </c>
      <c r="G345" s="3">
        <v>4.0426013239999996</v>
      </c>
    </row>
    <row r="346" spans="1:7" x14ac:dyDescent="0.3">
      <c r="A346" s="3" t="s">
        <v>4</v>
      </c>
      <c r="B346" s="3" t="s">
        <v>20</v>
      </c>
      <c r="C346" s="3">
        <v>33.549999999999997</v>
      </c>
      <c r="D346" s="3">
        <v>9</v>
      </c>
      <c r="E346" s="3" t="s">
        <v>51</v>
      </c>
      <c r="F346" s="3" t="s">
        <v>126</v>
      </c>
      <c r="G346" s="3">
        <v>4.06988109</v>
      </c>
    </row>
    <row r="347" spans="1:7" x14ac:dyDescent="0.3">
      <c r="A347" s="3" t="s">
        <v>4</v>
      </c>
      <c r="B347" s="3" t="s">
        <v>20</v>
      </c>
      <c r="C347" s="3">
        <v>34.358974359999998</v>
      </c>
      <c r="D347" s="3">
        <v>10</v>
      </c>
      <c r="E347" s="3" t="s">
        <v>51</v>
      </c>
      <c r="F347" s="3" t="s">
        <v>126</v>
      </c>
      <c r="G347" s="3">
        <v>4.0836033199999999</v>
      </c>
    </row>
    <row r="348" spans="1:7" x14ac:dyDescent="0.3">
      <c r="A348" s="3" t="s">
        <v>4</v>
      </c>
      <c r="B348" s="3" t="s">
        <v>20</v>
      </c>
      <c r="C348" s="3">
        <v>31.387499999999999</v>
      </c>
      <c r="D348" s="3">
        <v>11</v>
      </c>
      <c r="E348" s="3" t="s">
        <v>51</v>
      </c>
      <c r="F348" s="3" t="s">
        <v>126</v>
      </c>
      <c r="G348" s="3">
        <v>4.0322475029999998</v>
      </c>
    </row>
    <row r="349" spans="1:7" x14ac:dyDescent="0.3">
      <c r="A349" s="3" t="s">
        <v>4</v>
      </c>
      <c r="B349" s="3" t="s">
        <v>20</v>
      </c>
      <c r="C349" s="3">
        <v>29.897435900000001</v>
      </c>
      <c r="D349" s="3">
        <v>12</v>
      </c>
      <c r="E349" s="3" t="s">
        <v>51</v>
      </c>
      <c r="F349" s="3" t="s">
        <v>126</v>
      </c>
      <c r="G349" s="3">
        <v>4.0054666430000001</v>
      </c>
    </row>
    <row r="350" spans="1:7" x14ac:dyDescent="0.3">
      <c r="A350" s="3" t="s">
        <v>4</v>
      </c>
      <c r="B350" s="3" t="s">
        <v>20</v>
      </c>
      <c r="C350" s="3">
        <v>34.362499999999997</v>
      </c>
      <c r="D350" s="3">
        <v>13</v>
      </c>
      <c r="E350" s="3" t="s">
        <v>51</v>
      </c>
      <c r="F350" s="3" t="s">
        <v>126</v>
      </c>
      <c r="G350" s="3">
        <v>4.0836627139999999</v>
      </c>
    </row>
    <row r="351" spans="1:7" x14ac:dyDescent="0.3">
      <c r="A351" s="3" t="s">
        <v>4</v>
      </c>
      <c r="B351" s="3" t="s">
        <v>20</v>
      </c>
      <c r="C351" s="3">
        <v>30.970588240000001</v>
      </c>
      <c r="D351" s="3">
        <v>14</v>
      </c>
      <c r="E351" s="3" t="s">
        <v>51</v>
      </c>
      <c r="F351" s="3" t="s">
        <v>126</v>
      </c>
      <c r="G351" s="3">
        <v>4.024826343</v>
      </c>
    </row>
    <row r="352" spans="1:7" x14ac:dyDescent="0.3">
      <c r="A352" s="3" t="s">
        <v>4</v>
      </c>
      <c r="B352" s="3" t="s">
        <v>20</v>
      </c>
      <c r="C352" s="3">
        <v>25.85</v>
      </c>
      <c r="D352" s="3">
        <v>47</v>
      </c>
      <c r="E352" s="3" t="s">
        <v>51</v>
      </c>
      <c r="F352" s="3" t="s">
        <v>126</v>
      </c>
      <c r="G352" s="3">
        <v>3.9288801219999998</v>
      </c>
    </row>
    <row r="353" spans="1:7" x14ac:dyDescent="0.3">
      <c r="A353" s="3" t="s">
        <v>4</v>
      </c>
      <c r="B353" s="3" t="s">
        <v>20</v>
      </c>
      <c r="C353" s="3">
        <v>30.487500000000001</v>
      </c>
      <c r="D353" s="3">
        <v>48</v>
      </c>
      <c r="E353" s="3" t="s">
        <v>51</v>
      </c>
      <c r="F353" s="3" t="s">
        <v>126</v>
      </c>
      <c r="G353" s="3">
        <v>4.0161577700000004</v>
      </c>
    </row>
    <row r="354" spans="1:7" x14ac:dyDescent="0.3">
      <c r="A354" s="3" t="s">
        <v>4</v>
      </c>
      <c r="B354" s="3" t="s">
        <v>20</v>
      </c>
      <c r="C354" s="3">
        <v>29.15384615</v>
      </c>
      <c r="D354" s="3">
        <v>49</v>
      </c>
      <c r="E354" s="3" t="s">
        <v>51</v>
      </c>
      <c r="F354" s="3" t="s">
        <v>126</v>
      </c>
      <c r="G354" s="3">
        <v>3.991828999</v>
      </c>
    </row>
    <row r="355" spans="1:7" x14ac:dyDescent="0.3">
      <c r="A355" s="3" t="s">
        <v>4</v>
      </c>
      <c r="B355" s="3" t="s">
        <v>20</v>
      </c>
      <c r="C355" s="3">
        <v>28.55</v>
      </c>
      <c r="D355" s="3">
        <v>50</v>
      </c>
      <c r="E355" s="3" t="s">
        <v>51</v>
      </c>
      <c r="F355" s="3" t="s">
        <v>126</v>
      </c>
      <c r="G355" s="3">
        <v>3.980615797</v>
      </c>
    </row>
    <row r="356" spans="1:7" x14ac:dyDescent="0.3">
      <c r="A356" s="3" t="s">
        <v>4</v>
      </c>
      <c r="B356" s="3" t="s">
        <v>20</v>
      </c>
      <c r="C356" s="3">
        <v>29.551282050000001</v>
      </c>
      <c r="D356" s="3">
        <v>51</v>
      </c>
      <c r="E356" s="3" t="s">
        <v>51</v>
      </c>
      <c r="F356" s="3" t="s">
        <v>126</v>
      </c>
      <c r="G356" s="3">
        <v>3.9991412140000002</v>
      </c>
    </row>
    <row r="357" spans="1:7" x14ac:dyDescent="0.3">
      <c r="A357" s="3" t="s">
        <v>4</v>
      </c>
      <c r="B357" s="3" t="s">
        <v>20</v>
      </c>
      <c r="C357" s="3">
        <v>28.662500000000001</v>
      </c>
      <c r="D357" s="3">
        <v>52</v>
      </c>
      <c r="E357" s="3" t="s">
        <v>51</v>
      </c>
      <c r="F357" s="3" t="s">
        <v>126</v>
      </c>
      <c r="G357" s="3">
        <v>3.982714434</v>
      </c>
    </row>
    <row r="358" spans="1:7" x14ac:dyDescent="0.3">
      <c r="A358" s="3" t="s">
        <v>4</v>
      </c>
      <c r="B358" s="3" t="s">
        <v>20</v>
      </c>
      <c r="C358" s="3">
        <v>30.089285709999999</v>
      </c>
      <c r="D358" s="3">
        <v>53</v>
      </c>
      <c r="E358" s="3" t="s">
        <v>51</v>
      </c>
      <c r="F358" s="3" t="s">
        <v>126</v>
      </c>
      <c r="G358" s="3">
        <v>4.0089552460000002</v>
      </c>
    </row>
    <row r="359" spans="1:7" x14ac:dyDescent="0.3">
      <c r="A359" s="3" t="s">
        <v>4</v>
      </c>
      <c r="B359" s="3" t="s">
        <v>31</v>
      </c>
      <c r="C359" s="3">
        <v>15.90909091</v>
      </c>
      <c r="D359" s="3">
        <v>1</v>
      </c>
      <c r="E359" s="3" t="s">
        <v>53</v>
      </c>
      <c r="F359" s="3" t="s">
        <v>126</v>
      </c>
      <c r="G359" s="3">
        <v>3.7113523100000001</v>
      </c>
    </row>
    <row r="360" spans="1:7" x14ac:dyDescent="0.3">
      <c r="A360" s="3" t="s">
        <v>4</v>
      </c>
      <c r="B360" s="3" t="s">
        <v>31</v>
      </c>
      <c r="C360" s="3">
        <v>15.2125</v>
      </c>
      <c r="D360" s="3">
        <v>2</v>
      </c>
      <c r="E360" s="3" t="s">
        <v>53</v>
      </c>
      <c r="F360" s="3" t="s">
        <v>126</v>
      </c>
      <c r="G360" s="3">
        <v>3.694177893</v>
      </c>
    </row>
    <row r="361" spans="1:7" x14ac:dyDescent="0.3">
      <c r="A361" s="3" t="s">
        <v>4</v>
      </c>
      <c r="B361" s="3" t="s">
        <v>31</v>
      </c>
      <c r="C361" s="3">
        <v>14.551282049999999</v>
      </c>
      <c r="D361" s="3">
        <v>3</v>
      </c>
      <c r="E361" s="3" t="s">
        <v>53</v>
      </c>
      <c r="F361" s="3" t="s">
        <v>126</v>
      </c>
      <c r="G361" s="3">
        <v>3.6775981099999999</v>
      </c>
    </row>
    <row r="362" spans="1:7" x14ac:dyDescent="0.3">
      <c r="A362" s="3" t="s">
        <v>4</v>
      </c>
      <c r="B362" s="3" t="s">
        <v>31</v>
      </c>
      <c r="C362" s="3">
        <v>13.425000000000001</v>
      </c>
      <c r="D362" s="3">
        <v>4</v>
      </c>
      <c r="E362" s="3" t="s">
        <v>53</v>
      </c>
      <c r="F362" s="3" t="s">
        <v>126</v>
      </c>
      <c r="G362" s="3">
        <v>3.648708289</v>
      </c>
    </row>
    <row r="363" spans="1:7" x14ac:dyDescent="0.3">
      <c r="A363" s="3" t="s">
        <v>4</v>
      </c>
      <c r="B363" s="3" t="s">
        <v>31</v>
      </c>
      <c r="C363" s="3">
        <v>6.2820512820000003</v>
      </c>
      <c r="D363" s="3">
        <v>5</v>
      </c>
      <c r="E363" s="3" t="s">
        <v>53</v>
      </c>
      <c r="F363" s="3" t="s">
        <v>126</v>
      </c>
      <c r="G363" s="3">
        <v>3.4430444919999998</v>
      </c>
    </row>
    <row r="364" spans="1:7" x14ac:dyDescent="0.3">
      <c r="A364" s="3" t="s">
        <v>4</v>
      </c>
      <c r="B364" s="3" t="s">
        <v>31</v>
      </c>
      <c r="C364" s="3">
        <v>8.4250000000000007</v>
      </c>
      <c r="D364" s="3">
        <v>6</v>
      </c>
      <c r="E364" s="3" t="s">
        <v>53</v>
      </c>
      <c r="F364" s="3" t="s">
        <v>126</v>
      </c>
      <c r="G364" s="3">
        <v>3.5093041230000002</v>
      </c>
    </row>
    <row r="365" spans="1:7" x14ac:dyDescent="0.3">
      <c r="A365" s="3" t="s">
        <v>4</v>
      </c>
      <c r="B365" s="3" t="s">
        <v>31</v>
      </c>
      <c r="C365" s="3">
        <v>-0.57692307700000001</v>
      </c>
      <c r="D365" s="3">
        <v>7</v>
      </c>
      <c r="E365" s="3" t="s">
        <v>53</v>
      </c>
      <c r="F365" s="3" t="s">
        <v>126</v>
      </c>
      <c r="G365" s="3">
        <v>3.1955284609999999</v>
      </c>
    </row>
    <row r="366" spans="1:7" x14ac:dyDescent="0.3">
      <c r="A366" s="3" t="s">
        <v>4</v>
      </c>
      <c r="B366" s="3" t="s">
        <v>31</v>
      </c>
      <c r="C366" s="3">
        <v>-9.1875</v>
      </c>
      <c r="D366" s="3">
        <v>8</v>
      </c>
      <c r="E366" s="3" t="s">
        <v>53</v>
      </c>
      <c r="F366" s="3" t="s">
        <v>126</v>
      </c>
      <c r="G366" s="3">
        <v>2.760800766</v>
      </c>
    </row>
    <row r="367" spans="1:7" x14ac:dyDescent="0.3">
      <c r="A367" s="3" t="s">
        <v>4</v>
      </c>
      <c r="B367" s="3" t="s">
        <v>31</v>
      </c>
      <c r="C367" s="3">
        <v>7.0125000000000002</v>
      </c>
      <c r="D367" s="3">
        <v>9</v>
      </c>
      <c r="E367" s="3" t="s">
        <v>53</v>
      </c>
      <c r="F367" s="3" t="s">
        <v>126</v>
      </c>
      <c r="G367" s="3">
        <v>3.4661264520000001</v>
      </c>
    </row>
    <row r="368" spans="1:7" x14ac:dyDescent="0.3">
      <c r="A368" s="3" t="s">
        <v>4</v>
      </c>
      <c r="B368" s="3" t="s">
        <v>31</v>
      </c>
      <c r="C368" s="3">
        <v>23.23076923</v>
      </c>
      <c r="D368" s="3">
        <v>10</v>
      </c>
      <c r="E368" s="3" t="s">
        <v>53</v>
      </c>
      <c r="F368" s="3" t="s">
        <v>126</v>
      </c>
      <c r="G368" s="3">
        <v>3.875997183</v>
      </c>
    </row>
    <row r="369" spans="1:7" x14ac:dyDescent="0.3">
      <c r="A369" s="3" t="s">
        <v>4</v>
      </c>
      <c r="B369" s="3" t="s">
        <v>31</v>
      </c>
      <c r="C369" s="3">
        <v>31.662500000000001</v>
      </c>
      <c r="D369" s="3">
        <v>11</v>
      </c>
      <c r="E369" s="3" t="s">
        <v>53</v>
      </c>
      <c r="F369" s="3" t="s">
        <v>126</v>
      </c>
      <c r="G369" s="3">
        <v>4.0371126159999999</v>
      </c>
    </row>
    <row r="370" spans="1:7" x14ac:dyDescent="0.3">
      <c r="A370" s="3" t="s">
        <v>4</v>
      </c>
      <c r="B370" s="3" t="s">
        <v>31</v>
      </c>
      <c r="C370" s="3">
        <v>33.897435899999998</v>
      </c>
      <c r="D370" s="3">
        <v>12</v>
      </c>
      <c r="E370" s="3" t="s">
        <v>53</v>
      </c>
      <c r="F370" s="3" t="s">
        <v>126</v>
      </c>
      <c r="G370" s="3">
        <v>4.0757975569999996</v>
      </c>
    </row>
    <row r="371" spans="1:7" x14ac:dyDescent="0.3">
      <c r="A371" s="3" t="s">
        <v>4</v>
      </c>
      <c r="B371" s="3" t="s">
        <v>31</v>
      </c>
      <c r="C371" s="3">
        <v>34.435897439999998</v>
      </c>
      <c r="D371" s="3">
        <v>13</v>
      </c>
      <c r="E371" s="3" t="s">
        <v>53</v>
      </c>
      <c r="F371" s="3" t="s">
        <v>126</v>
      </c>
      <c r="G371" s="3">
        <v>4.0848983780000001</v>
      </c>
    </row>
    <row r="372" spans="1:7" x14ac:dyDescent="0.3">
      <c r="A372" s="3" t="s">
        <v>4</v>
      </c>
      <c r="B372" s="3" t="s">
        <v>31</v>
      </c>
      <c r="C372" s="3">
        <v>32.941176470000002</v>
      </c>
      <c r="D372" s="3">
        <v>14</v>
      </c>
      <c r="E372" s="3" t="s">
        <v>53</v>
      </c>
      <c r="F372" s="3" t="s">
        <v>126</v>
      </c>
      <c r="G372" s="3">
        <v>4.0594282970000002</v>
      </c>
    </row>
    <row r="373" spans="1:7" x14ac:dyDescent="0.3">
      <c r="A373" s="3" t="s">
        <v>4</v>
      </c>
      <c r="B373" s="3" t="s">
        <v>31</v>
      </c>
      <c r="C373" s="3">
        <v>25.125</v>
      </c>
      <c r="D373" s="3">
        <v>47</v>
      </c>
      <c r="E373" s="3" t="s">
        <v>53</v>
      </c>
      <c r="F373" s="3" t="s">
        <v>126</v>
      </c>
      <c r="G373" s="3">
        <v>3.9145198859999999</v>
      </c>
    </row>
    <row r="374" spans="1:7" x14ac:dyDescent="0.3">
      <c r="A374" s="3" t="s">
        <v>4</v>
      </c>
      <c r="B374" s="3" t="s">
        <v>31</v>
      </c>
      <c r="C374" s="3">
        <v>29.675000000000001</v>
      </c>
      <c r="D374" s="3">
        <v>48</v>
      </c>
      <c r="E374" s="3" t="s">
        <v>53</v>
      </c>
      <c r="F374" s="3" t="s">
        <v>126</v>
      </c>
      <c r="G374" s="3">
        <v>4.0014065670000001</v>
      </c>
    </row>
    <row r="375" spans="1:7" x14ac:dyDescent="0.3">
      <c r="A375" s="3" t="s">
        <v>4</v>
      </c>
      <c r="B375" s="3" t="s">
        <v>31</v>
      </c>
      <c r="C375" s="3">
        <v>28.84615385</v>
      </c>
      <c r="D375" s="3">
        <v>49</v>
      </c>
      <c r="E375" s="3" t="s">
        <v>53</v>
      </c>
      <c r="F375" s="3" t="s">
        <v>126</v>
      </c>
      <c r="G375" s="3">
        <v>3.9861309779999998</v>
      </c>
    </row>
    <row r="376" spans="1:7" x14ac:dyDescent="0.3">
      <c r="A376" s="3" t="s">
        <v>4</v>
      </c>
      <c r="B376" s="3" t="s">
        <v>31</v>
      </c>
      <c r="C376" s="3">
        <v>27.725000000000001</v>
      </c>
      <c r="D376" s="3">
        <v>50</v>
      </c>
      <c r="E376" s="3" t="s">
        <v>53</v>
      </c>
      <c r="F376" s="3" t="s">
        <v>126</v>
      </c>
      <c r="G376" s="3">
        <v>3.965089726</v>
      </c>
    </row>
    <row r="377" spans="1:7" x14ac:dyDescent="0.3">
      <c r="A377" s="3" t="s">
        <v>4</v>
      </c>
      <c r="B377" s="3" t="s">
        <v>31</v>
      </c>
      <c r="C377" s="3">
        <v>24.358974360000001</v>
      </c>
      <c r="D377" s="3">
        <v>51</v>
      </c>
      <c r="E377" s="3" t="s">
        <v>53</v>
      </c>
      <c r="F377" s="3" t="s">
        <v>126</v>
      </c>
      <c r="G377" s="3">
        <v>3.8991196010000002</v>
      </c>
    </row>
    <row r="378" spans="1:7" x14ac:dyDescent="0.3">
      <c r="A378" s="3" t="s">
        <v>4</v>
      </c>
      <c r="B378" s="3" t="s">
        <v>31</v>
      </c>
      <c r="C378" s="3">
        <v>20.65</v>
      </c>
      <c r="D378" s="3">
        <v>52</v>
      </c>
      <c r="E378" s="3" t="s">
        <v>53</v>
      </c>
      <c r="F378" s="3" t="s">
        <v>126</v>
      </c>
      <c r="G378" s="3">
        <v>3.8210036070000002</v>
      </c>
    </row>
    <row r="379" spans="1:7" x14ac:dyDescent="0.3">
      <c r="A379" s="3" t="s">
        <v>4</v>
      </c>
      <c r="B379" s="3" t="s">
        <v>31</v>
      </c>
      <c r="C379" s="3">
        <v>17.23214286</v>
      </c>
      <c r="D379" s="3">
        <v>53</v>
      </c>
      <c r="E379" s="3" t="s">
        <v>53</v>
      </c>
      <c r="F379" s="3" t="s">
        <v>126</v>
      </c>
      <c r="G379" s="3">
        <v>3.7431816100000002</v>
      </c>
    </row>
    <row r="380" spans="1:7" x14ac:dyDescent="0.3">
      <c r="A380" s="3" t="s">
        <v>5</v>
      </c>
      <c r="B380" s="3" t="s">
        <v>30</v>
      </c>
      <c r="C380" s="3">
        <v>13.136363640000001</v>
      </c>
      <c r="D380" s="3">
        <v>1</v>
      </c>
      <c r="E380" s="3" t="s">
        <v>53</v>
      </c>
      <c r="F380" s="3" t="s">
        <v>126</v>
      </c>
      <c r="G380" s="3">
        <v>3.641168253</v>
      </c>
    </row>
    <row r="381" spans="1:7" x14ac:dyDescent="0.3">
      <c r="A381" s="3" t="s">
        <v>5</v>
      </c>
      <c r="B381" s="3" t="s">
        <v>30</v>
      </c>
      <c r="C381" s="3">
        <v>19.625</v>
      </c>
      <c r="D381" s="3">
        <v>2</v>
      </c>
      <c r="E381" s="3" t="s">
        <v>53</v>
      </c>
      <c r="F381" s="3" t="s">
        <v>126</v>
      </c>
      <c r="G381" s="3">
        <v>3.7982942400000002</v>
      </c>
    </row>
    <row r="382" spans="1:7" x14ac:dyDescent="0.3">
      <c r="A382" s="3" t="s">
        <v>5</v>
      </c>
      <c r="B382" s="3" t="s">
        <v>30</v>
      </c>
      <c r="C382" s="3">
        <v>20.61538462</v>
      </c>
      <c r="D382" s="3">
        <v>3</v>
      </c>
      <c r="E382" s="3" t="s">
        <v>53</v>
      </c>
      <c r="F382" s="3" t="s">
        <v>126</v>
      </c>
      <c r="G382" s="3">
        <v>3.8202450419999998</v>
      </c>
    </row>
    <row r="383" spans="1:7" x14ac:dyDescent="0.3">
      <c r="A383" s="3" t="s">
        <v>5</v>
      </c>
      <c r="B383" s="3" t="s">
        <v>30</v>
      </c>
      <c r="C383" s="3">
        <v>22.725000000000001</v>
      </c>
      <c r="D383" s="3">
        <v>4</v>
      </c>
      <c r="E383" s="3" t="s">
        <v>53</v>
      </c>
      <c r="F383" s="3" t="s">
        <v>126</v>
      </c>
      <c r="G383" s="3">
        <v>3.8654553699999998</v>
      </c>
    </row>
    <row r="384" spans="1:7" x14ac:dyDescent="0.3">
      <c r="A384" s="3" t="s">
        <v>5</v>
      </c>
      <c r="B384" s="3" t="s">
        <v>30</v>
      </c>
      <c r="C384" s="3">
        <v>22.11538462</v>
      </c>
      <c r="D384" s="3">
        <v>5</v>
      </c>
      <c r="E384" s="3" t="s">
        <v>53</v>
      </c>
      <c r="F384" s="3" t="s">
        <v>126</v>
      </c>
      <c r="G384" s="3">
        <v>3.8525995850000001</v>
      </c>
    </row>
    <row r="385" spans="1:7" x14ac:dyDescent="0.3">
      <c r="A385" s="3" t="s">
        <v>5</v>
      </c>
      <c r="B385" s="3" t="s">
        <v>30</v>
      </c>
      <c r="C385" s="3">
        <v>24.4375</v>
      </c>
      <c r="D385" s="3">
        <v>6</v>
      </c>
      <c r="E385" s="3" t="s">
        <v>53</v>
      </c>
      <c r="F385" s="3" t="s">
        <v>126</v>
      </c>
      <c r="G385" s="3">
        <v>3.9007092459999999</v>
      </c>
    </row>
    <row r="386" spans="1:7" x14ac:dyDescent="0.3">
      <c r="A386" s="3" t="s">
        <v>5</v>
      </c>
      <c r="B386" s="3" t="s">
        <v>30</v>
      </c>
      <c r="C386" s="3">
        <v>21.38461538</v>
      </c>
      <c r="D386" s="3">
        <v>7</v>
      </c>
      <c r="E386" s="3" t="s">
        <v>53</v>
      </c>
      <c r="F386" s="3" t="s">
        <v>126</v>
      </c>
      <c r="G386" s="3">
        <v>3.8369678390000002</v>
      </c>
    </row>
    <row r="387" spans="1:7" x14ac:dyDescent="0.3">
      <c r="A387" s="3" t="s">
        <v>5</v>
      </c>
      <c r="B387" s="3" t="s">
        <v>30</v>
      </c>
      <c r="C387" s="3">
        <v>15.85</v>
      </c>
      <c r="D387" s="3">
        <v>8</v>
      </c>
      <c r="E387" s="3" t="s">
        <v>53</v>
      </c>
      <c r="F387" s="3" t="s">
        <v>126</v>
      </c>
      <c r="G387" s="3">
        <v>3.7099068210000001</v>
      </c>
    </row>
    <row r="388" spans="1:7" x14ac:dyDescent="0.3">
      <c r="A388" s="3" t="s">
        <v>5</v>
      </c>
      <c r="B388" s="3" t="s">
        <v>30</v>
      </c>
      <c r="C388" s="3">
        <v>22.256410259999999</v>
      </c>
      <c r="D388" s="3">
        <v>9</v>
      </c>
      <c r="E388" s="3" t="s">
        <v>53</v>
      </c>
      <c r="F388" s="3" t="s">
        <v>126</v>
      </c>
      <c r="G388" s="3">
        <v>3.8555883120000001</v>
      </c>
    </row>
    <row r="389" spans="1:7" x14ac:dyDescent="0.3">
      <c r="A389" s="3" t="s">
        <v>5</v>
      </c>
      <c r="B389" s="3" t="s">
        <v>30</v>
      </c>
      <c r="C389" s="3">
        <v>23.75</v>
      </c>
      <c r="D389" s="3">
        <v>10</v>
      </c>
      <c r="E389" s="3" t="s">
        <v>53</v>
      </c>
      <c r="F389" s="3" t="s">
        <v>126</v>
      </c>
      <c r="G389" s="3">
        <v>3.8867051969999999</v>
      </c>
    </row>
    <row r="390" spans="1:7" x14ac:dyDescent="0.3">
      <c r="A390" s="3" t="s">
        <v>5</v>
      </c>
      <c r="B390" s="3" t="s">
        <v>30</v>
      </c>
      <c r="C390" s="3">
        <v>28.6</v>
      </c>
      <c r="D390" s="3">
        <v>11</v>
      </c>
      <c r="E390" s="3" t="s">
        <v>53</v>
      </c>
      <c r="F390" s="3" t="s">
        <v>126</v>
      </c>
      <c r="G390" s="3">
        <v>3.9815490680000001</v>
      </c>
    </row>
    <row r="391" spans="1:7" x14ac:dyDescent="0.3">
      <c r="A391" s="3" t="s">
        <v>5</v>
      </c>
      <c r="B391" s="3" t="s">
        <v>30</v>
      </c>
      <c r="C391" s="3">
        <v>28.243589740000001</v>
      </c>
      <c r="D391" s="3">
        <v>12</v>
      </c>
      <c r="E391" s="3" t="s">
        <v>53</v>
      </c>
      <c r="F391" s="3" t="s">
        <v>126</v>
      </c>
      <c r="G391" s="3">
        <v>3.9748774170000001</v>
      </c>
    </row>
    <row r="392" spans="1:7" x14ac:dyDescent="0.3">
      <c r="A392" s="3" t="s">
        <v>5</v>
      </c>
      <c r="B392" s="3" t="s">
        <v>30</v>
      </c>
      <c r="C392" s="3">
        <v>34.948717950000002</v>
      </c>
      <c r="D392" s="3">
        <v>13</v>
      </c>
      <c r="E392" s="3" t="s">
        <v>53</v>
      </c>
      <c r="F392" s="3" t="s">
        <v>126</v>
      </c>
      <c r="G392" s="3">
        <v>4.0934894960000001</v>
      </c>
    </row>
    <row r="393" spans="1:7" x14ac:dyDescent="0.3">
      <c r="A393" s="3" t="s">
        <v>5</v>
      </c>
      <c r="B393" s="3" t="s">
        <v>30</v>
      </c>
      <c r="C393" s="3">
        <v>33.470588239999998</v>
      </c>
      <c r="D393" s="3">
        <v>14</v>
      </c>
      <c r="E393" s="3" t="s">
        <v>53</v>
      </c>
      <c r="F393" s="3" t="s">
        <v>126</v>
      </c>
      <c r="G393" s="3">
        <v>4.0685238630000002</v>
      </c>
    </row>
    <row r="394" spans="1:7" x14ac:dyDescent="0.3">
      <c r="A394" s="3" t="s">
        <v>5</v>
      </c>
      <c r="B394" s="3" t="s">
        <v>30</v>
      </c>
      <c r="C394" s="3">
        <v>24.4</v>
      </c>
      <c r="D394" s="3">
        <v>47</v>
      </c>
      <c r="E394" s="3" t="s">
        <v>53</v>
      </c>
      <c r="F394" s="3" t="s">
        <v>126</v>
      </c>
      <c r="G394" s="3">
        <v>3.899950424</v>
      </c>
    </row>
    <row r="395" spans="1:7" x14ac:dyDescent="0.3">
      <c r="A395" s="3" t="s">
        <v>5</v>
      </c>
      <c r="B395" s="3" t="s">
        <v>30</v>
      </c>
      <c r="C395" s="3">
        <v>19.262499999999999</v>
      </c>
      <c r="D395" s="3">
        <v>48</v>
      </c>
      <c r="E395" s="3" t="s">
        <v>53</v>
      </c>
      <c r="F395" s="3" t="s">
        <v>126</v>
      </c>
      <c r="G395" s="3">
        <v>3.7901378170000002</v>
      </c>
    </row>
    <row r="396" spans="1:7" x14ac:dyDescent="0.3">
      <c r="A396" s="3" t="s">
        <v>5</v>
      </c>
      <c r="B396" s="3" t="s">
        <v>30</v>
      </c>
      <c r="C396" s="3">
        <v>10.12820513</v>
      </c>
      <c r="D396" s="3">
        <v>49</v>
      </c>
      <c r="E396" s="3" t="s">
        <v>53</v>
      </c>
      <c r="F396" s="3" t="s">
        <v>126</v>
      </c>
      <c r="G396" s="3">
        <v>3.5590043730000001</v>
      </c>
    </row>
    <row r="397" spans="1:7" x14ac:dyDescent="0.3">
      <c r="A397" s="3" t="s">
        <v>5</v>
      </c>
      <c r="B397" s="3" t="s">
        <v>30</v>
      </c>
      <c r="C397" s="3">
        <v>13.387499999999999</v>
      </c>
      <c r="D397" s="3">
        <v>50</v>
      </c>
      <c r="E397" s="3" t="s">
        <v>53</v>
      </c>
      <c r="F397" s="3" t="s">
        <v>126</v>
      </c>
      <c r="G397" s="3">
        <v>3.6477318859999999</v>
      </c>
    </row>
    <row r="398" spans="1:7" x14ac:dyDescent="0.3">
      <c r="A398" s="3" t="s">
        <v>5</v>
      </c>
      <c r="B398" s="3" t="s">
        <v>30</v>
      </c>
      <c r="C398" s="3">
        <v>13.948717950000001</v>
      </c>
      <c r="D398" s="3">
        <v>51</v>
      </c>
      <c r="E398" s="3" t="s">
        <v>53</v>
      </c>
      <c r="F398" s="3" t="s">
        <v>126</v>
      </c>
      <c r="G398" s="3">
        <v>3.6622458560000002</v>
      </c>
    </row>
    <row r="399" spans="1:7" x14ac:dyDescent="0.3">
      <c r="A399" s="3" t="s">
        <v>5</v>
      </c>
      <c r="B399" s="3" t="s">
        <v>30</v>
      </c>
      <c r="C399" s="3">
        <v>11.85</v>
      </c>
      <c r="D399" s="3">
        <v>52</v>
      </c>
      <c r="E399" s="3" t="s">
        <v>53</v>
      </c>
      <c r="F399" s="3" t="s">
        <v>126</v>
      </c>
      <c r="G399" s="3">
        <v>3.6068556190000001</v>
      </c>
    </row>
    <row r="400" spans="1:7" x14ac:dyDescent="0.3">
      <c r="A400" s="3" t="s">
        <v>5</v>
      </c>
      <c r="B400" s="3" t="s">
        <v>30</v>
      </c>
      <c r="C400" s="3">
        <v>11.30357143</v>
      </c>
      <c r="D400" s="3">
        <v>53</v>
      </c>
      <c r="E400" s="3" t="s">
        <v>53</v>
      </c>
      <c r="F400" s="3" t="s">
        <v>126</v>
      </c>
      <c r="G400" s="3">
        <v>3.5919161229999998</v>
      </c>
    </row>
    <row r="401" spans="1:7" x14ac:dyDescent="0.3">
      <c r="A401" s="3" t="s">
        <v>5</v>
      </c>
      <c r="B401" s="3" t="s">
        <v>41</v>
      </c>
      <c r="C401" s="3">
        <v>1.0909090910000001</v>
      </c>
      <c r="D401" s="3">
        <v>1</v>
      </c>
      <c r="E401" s="3" t="s">
        <v>55</v>
      </c>
      <c r="F401" s="3" t="s">
        <v>126</v>
      </c>
      <c r="G401" s="3">
        <v>3.2615869430000002</v>
      </c>
    </row>
    <row r="402" spans="1:7" x14ac:dyDescent="0.3">
      <c r="A402" s="3" t="s">
        <v>5</v>
      </c>
      <c r="B402" s="3" t="s">
        <v>41</v>
      </c>
      <c r="C402" s="3">
        <v>1.4750000000000001</v>
      </c>
      <c r="D402" s="3">
        <v>2</v>
      </c>
      <c r="E402" s="3" t="s">
        <v>55</v>
      </c>
      <c r="F402" s="3" t="s">
        <v>126</v>
      </c>
      <c r="G402" s="3">
        <v>3.2762008909999998</v>
      </c>
    </row>
    <row r="403" spans="1:7" x14ac:dyDescent="0.3">
      <c r="A403" s="3" t="s">
        <v>5</v>
      </c>
      <c r="B403" s="3" t="s">
        <v>41</v>
      </c>
      <c r="C403" s="3">
        <v>1.0125</v>
      </c>
      <c r="D403" s="3">
        <v>3</v>
      </c>
      <c r="E403" s="3" t="s">
        <v>55</v>
      </c>
      <c r="F403" s="3" t="s">
        <v>126</v>
      </c>
      <c r="G403" s="3">
        <v>3.2585771920000002</v>
      </c>
    </row>
    <row r="404" spans="1:7" x14ac:dyDescent="0.3">
      <c r="A404" s="3" t="s">
        <v>5</v>
      </c>
      <c r="B404" s="3" t="s">
        <v>41</v>
      </c>
      <c r="C404" s="3">
        <v>0.41025641000000002</v>
      </c>
      <c r="D404" s="3">
        <v>4</v>
      </c>
      <c r="E404" s="3" t="s">
        <v>55</v>
      </c>
      <c r="F404" s="3" t="s">
        <v>126</v>
      </c>
      <c r="G404" s="3">
        <v>3.235152888</v>
      </c>
    </row>
    <row r="405" spans="1:7" x14ac:dyDescent="0.3">
      <c r="A405" s="3" t="s">
        <v>5</v>
      </c>
      <c r="B405" s="3" t="s">
        <v>41</v>
      </c>
      <c r="C405" s="3">
        <v>-0.16250000000000001</v>
      </c>
      <c r="D405" s="3">
        <v>5</v>
      </c>
      <c r="E405" s="3" t="s">
        <v>55</v>
      </c>
      <c r="F405" s="3" t="s">
        <v>126</v>
      </c>
      <c r="G405" s="3">
        <v>3.2123546080000001</v>
      </c>
    </row>
    <row r="406" spans="1:7" x14ac:dyDescent="0.3">
      <c r="A406" s="3" t="s">
        <v>5</v>
      </c>
      <c r="B406" s="3" t="s">
        <v>41</v>
      </c>
      <c r="C406" s="3">
        <v>0.70512820499999995</v>
      </c>
      <c r="D406" s="3">
        <v>6</v>
      </c>
      <c r="E406" s="3" t="s">
        <v>55</v>
      </c>
      <c r="F406" s="3" t="s">
        <v>126</v>
      </c>
      <c r="G406" s="3">
        <v>3.2466905129999999</v>
      </c>
    </row>
    <row r="407" spans="1:7" x14ac:dyDescent="0.3">
      <c r="A407" s="3" t="s">
        <v>5</v>
      </c>
      <c r="B407" s="3" t="s">
        <v>41</v>
      </c>
      <c r="C407" s="3">
        <v>-5.1375000000000002</v>
      </c>
      <c r="D407" s="3">
        <v>7</v>
      </c>
      <c r="E407" s="3" t="s">
        <v>55</v>
      </c>
      <c r="F407" s="3" t="s">
        <v>126</v>
      </c>
      <c r="G407" s="3">
        <v>2.9888335320000001</v>
      </c>
    </row>
    <row r="408" spans="1:7" x14ac:dyDescent="0.3">
      <c r="A408" s="3" t="s">
        <v>5</v>
      </c>
      <c r="B408" s="3" t="s">
        <v>41</v>
      </c>
      <c r="C408" s="3">
        <v>-7.5</v>
      </c>
      <c r="D408" s="3">
        <v>8</v>
      </c>
      <c r="E408" s="3" t="s">
        <v>55</v>
      </c>
      <c r="F408" s="3" t="s">
        <v>126</v>
      </c>
      <c r="G408" s="3">
        <v>2.8622008810000001</v>
      </c>
    </row>
    <row r="409" spans="1:7" x14ac:dyDescent="0.3">
      <c r="A409" s="3" t="s">
        <v>5</v>
      </c>
      <c r="B409" s="3" t="s">
        <v>41</v>
      </c>
      <c r="C409" s="3">
        <v>11.25</v>
      </c>
      <c r="D409" s="3">
        <v>9</v>
      </c>
      <c r="E409" s="3" t="s">
        <v>55</v>
      </c>
      <c r="F409" s="3" t="s">
        <v>126</v>
      </c>
      <c r="G409" s="3">
        <v>3.5904393809999999</v>
      </c>
    </row>
    <row r="410" spans="1:7" x14ac:dyDescent="0.3">
      <c r="A410" s="3" t="s">
        <v>5</v>
      </c>
      <c r="B410" s="3" t="s">
        <v>41</v>
      </c>
      <c r="C410" s="3">
        <v>17.217948719999999</v>
      </c>
      <c r="D410" s="3">
        <v>10</v>
      </c>
      <c r="E410" s="3" t="s">
        <v>55</v>
      </c>
      <c r="F410" s="3" t="s">
        <v>126</v>
      </c>
      <c r="G410" s="3">
        <v>3.742845456</v>
      </c>
    </row>
    <row r="411" spans="1:7" x14ac:dyDescent="0.3">
      <c r="A411" s="3" t="s">
        <v>5</v>
      </c>
      <c r="B411" s="3" t="s">
        <v>41</v>
      </c>
      <c r="C411" s="3">
        <v>17.362500000000001</v>
      </c>
      <c r="D411" s="3">
        <v>11</v>
      </c>
      <c r="E411" s="3" t="s">
        <v>55</v>
      </c>
      <c r="F411" s="3" t="s">
        <v>126</v>
      </c>
      <c r="G411" s="3">
        <v>3.7462635369999999</v>
      </c>
    </row>
    <row r="412" spans="1:7" x14ac:dyDescent="0.3">
      <c r="A412" s="3" t="s">
        <v>5</v>
      </c>
      <c r="B412" s="3" t="s">
        <v>41</v>
      </c>
      <c r="C412" s="3">
        <v>14.61538462</v>
      </c>
      <c r="D412" s="3">
        <v>12</v>
      </c>
      <c r="E412" s="3" t="s">
        <v>55</v>
      </c>
      <c r="F412" s="3" t="s">
        <v>126</v>
      </c>
      <c r="G412" s="3">
        <v>3.679217543</v>
      </c>
    </row>
    <row r="413" spans="1:7" x14ac:dyDescent="0.3">
      <c r="A413" s="3" t="s">
        <v>5</v>
      </c>
      <c r="B413" s="3" t="s">
        <v>41</v>
      </c>
      <c r="C413" s="3">
        <v>32.587499999999999</v>
      </c>
      <c r="D413" s="3">
        <v>13</v>
      </c>
      <c r="E413" s="3" t="s">
        <v>55</v>
      </c>
      <c r="F413" s="3" t="s">
        <v>126</v>
      </c>
      <c r="G413" s="3">
        <v>4.0533055300000003</v>
      </c>
    </row>
    <row r="414" spans="1:7" x14ac:dyDescent="0.3">
      <c r="A414" s="3" t="s">
        <v>5</v>
      </c>
      <c r="B414" s="3" t="s">
        <v>41</v>
      </c>
      <c r="C414" s="3">
        <v>32.617647060000003</v>
      </c>
      <c r="D414" s="3">
        <v>14</v>
      </c>
      <c r="E414" s="3" t="s">
        <v>55</v>
      </c>
      <c r="F414" s="3" t="s">
        <v>126</v>
      </c>
      <c r="G414" s="3">
        <v>4.0538288930000004</v>
      </c>
    </row>
    <row r="415" spans="1:7" x14ac:dyDescent="0.3">
      <c r="A415" s="3" t="s">
        <v>5</v>
      </c>
      <c r="B415" s="3" t="s">
        <v>41</v>
      </c>
      <c r="C415" s="3">
        <v>24.4</v>
      </c>
      <c r="D415" s="3">
        <v>47</v>
      </c>
      <c r="E415" s="3" t="s">
        <v>55</v>
      </c>
      <c r="F415" s="3" t="s">
        <v>126</v>
      </c>
      <c r="G415" s="3">
        <v>3.899950424</v>
      </c>
    </row>
    <row r="416" spans="1:7" x14ac:dyDescent="0.3">
      <c r="A416" s="3" t="s">
        <v>5</v>
      </c>
      <c r="B416" s="3" t="s">
        <v>41</v>
      </c>
      <c r="C416" s="3">
        <v>17.024999999999999</v>
      </c>
      <c r="D416" s="3">
        <v>48</v>
      </c>
      <c r="E416" s="3" t="s">
        <v>55</v>
      </c>
      <c r="F416" s="3" t="s">
        <v>126</v>
      </c>
      <c r="G416" s="3">
        <v>3.7382646789999998</v>
      </c>
    </row>
    <row r="417" spans="1:7" x14ac:dyDescent="0.3">
      <c r="A417" s="3" t="s">
        <v>5</v>
      </c>
      <c r="B417" s="3" t="s">
        <v>41</v>
      </c>
      <c r="C417" s="3">
        <v>6.615384615</v>
      </c>
      <c r="D417" s="3">
        <v>49</v>
      </c>
      <c r="E417" s="3" t="s">
        <v>55</v>
      </c>
      <c r="F417" s="3" t="s">
        <v>126</v>
      </c>
      <c r="G417" s="3">
        <v>3.4536438569999999</v>
      </c>
    </row>
    <row r="418" spans="1:7" x14ac:dyDescent="0.3">
      <c r="A418" s="3" t="s">
        <v>5</v>
      </c>
      <c r="B418" s="3" t="s">
        <v>41</v>
      </c>
      <c r="C418" s="3">
        <v>10.425000000000001</v>
      </c>
      <c r="D418" s="3">
        <v>50</v>
      </c>
      <c r="E418" s="3" t="s">
        <v>55</v>
      </c>
      <c r="F418" s="3" t="s">
        <v>126</v>
      </c>
      <c r="G418" s="3">
        <v>3.567417786</v>
      </c>
    </row>
    <row r="419" spans="1:7" x14ac:dyDescent="0.3">
      <c r="A419" s="3" t="s">
        <v>5</v>
      </c>
      <c r="B419" s="3" t="s">
        <v>41</v>
      </c>
      <c r="C419" s="3">
        <v>3.0128205129999999</v>
      </c>
      <c r="D419" s="3">
        <v>51</v>
      </c>
      <c r="E419" s="3" t="s">
        <v>55</v>
      </c>
      <c r="F419" s="3" t="s">
        <v>126</v>
      </c>
      <c r="G419" s="3">
        <v>3.3326622810000002</v>
      </c>
    </row>
    <row r="420" spans="1:7" x14ac:dyDescent="0.3">
      <c r="A420" s="3" t="s">
        <v>5</v>
      </c>
      <c r="B420" s="3" t="s">
        <v>41</v>
      </c>
      <c r="C420" s="3">
        <v>2.2250000000000001</v>
      </c>
      <c r="D420" s="3">
        <v>52</v>
      </c>
      <c r="E420" s="3" t="s">
        <v>55</v>
      </c>
      <c r="F420" s="3" t="s">
        <v>126</v>
      </c>
      <c r="G420" s="3">
        <v>3.3041356689999999</v>
      </c>
    </row>
    <row r="421" spans="1:7" x14ac:dyDescent="0.3">
      <c r="A421" s="3" t="s">
        <v>5</v>
      </c>
      <c r="B421" s="3" t="s">
        <v>41</v>
      </c>
      <c r="C421" s="3">
        <v>0.76785714299999996</v>
      </c>
      <c r="D421" s="3">
        <v>53</v>
      </c>
      <c r="E421" s="3" t="s">
        <v>55</v>
      </c>
      <c r="F421" s="3" t="s">
        <v>126</v>
      </c>
      <c r="G421" s="3">
        <v>3.249127868</v>
      </c>
    </row>
    <row r="422" spans="1:7" x14ac:dyDescent="0.3">
      <c r="A422" s="3" t="s">
        <v>5</v>
      </c>
      <c r="B422" s="3" t="s">
        <v>24</v>
      </c>
      <c r="C422" s="3">
        <v>6.4090909089999997</v>
      </c>
      <c r="D422" s="3">
        <v>1</v>
      </c>
      <c r="E422" s="3" t="s">
        <v>51</v>
      </c>
      <c r="F422" s="3" t="s">
        <v>126</v>
      </c>
      <c r="G422" s="3">
        <v>3.4470973699999998</v>
      </c>
    </row>
    <row r="423" spans="1:7" x14ac:dyDescent="0.3">
      <c r="A423" s="3" t="s">
        <v>5</v>
      </c>
      <c r="B423" s="3" t="s">
        <v>24</v>
      </c>
      <c r="C423" s="3">
        <v>7.7750000000000004</v>
      </c>
      <c r="D423" s="3">
        <v>2</v>
      </c>
      <c r="E423" s="3" t="s">
        <v>51</v>
      </c>
      <c r="F423" s="3" t="s">
        <v>126</v>
      </c>
      <c r="G423" s="3">
        <v>3.48966603</v>
      </c>
    </row>
    <row r="424" spans="1:7" x14ac:dyDescent="0.3">
      <c r="A424" s="3" t="s">
        <v>5</v>
      </c>
      <c r="B424" s="3" t="s">
        <v>24</v>
      </c>
      <c r="C424" s="3">
        <v>6.8125</v>
      </c>
      <c r="D424" s="3">
        <v>3</v>
      </c>
      <c r="E424" s="3" t="s">
        <v>51</v>
      </c>
      <c r="F424" s="3" t="s">
        <v>126</v>
      </c>
      <c r="G424" s="3">
        <v>3.4598592940000001</v>
      </c>
    </row>
    <row r="425" spans="1:7" x14ac:dyDescent="0.3">
      <c r="A425" s="3" t="s">
        <v>5</v>
      </c>
      <c r="B425" s="3" t="s">
        <v>24</v>
      </c>
      <c r="C425" s="3">
        <v>7.576923077</v>
      </c>
      <c r="D425" s="3">
        <v>4</v>
      </c>
      <c r="E425" s="3" t="s">
        <v>51</v>
      </c>
      <c r="F425" s="3" t="s">
        <v>126</v>
      </c>
      <c r="G425" s="3">
        <v>3.4836041569999998</v>
      </c>
    </row>
    <row r="426" spans="1:7" x14ac:dyDescent="0.3">
      <c r="A426" s="3" t="s">
        <v>5</v>
      </c>
      <c r="B426" s="3" t="s">
        <v>24</v>
      </c>
      <c r="C426" s="3">
        <v>6.3375000000000004</v>
      </c>
      <c r="D426" s="3">
        <v>5</v>
      </c>
      <c r="E426" s="3" t="s">
        <v>51</v>
      </c>
      <c r="F426" s="3" t="s">
        <v>126</v>
      </c>
      <c r="G426" s="3">
        <v>3.4448154629999999</v>
      </c>
    </row>
    <row r="427" spans="1:7" x14ac:dyDescent="0.3">
      <c r="A427" s="3" t="s">
        <v>5</v>
      </c>
      <c r="B427" s="3" t="s">
        <v>24</v>
      </c>
      <c r="C427" s="3">
        <v>6.9102564099999997</v>
      </c>
      <c r="D427" s="3">
        <v>6</v>
      </c>
      <c r="E427" s="3" t="s">
        <v>51</v>
      </c>
      <c r="F427" s="3" t="s">
        <v>126</v>
      </c>
      <c r="G427" s="3">
        <v>3.4629274759999999</v>
      </c>
    </row>
    <row r="428" spans="1:7" x14ac:dyDescent="0.3">
      <c r="A428" s="3" t="s">
        <v>5</v>
      </c>
      <c r="B428" s="3" t="s">
        <v>24</v>
      </c>
      <c r="C428" s="3">
        <v>6.4249999999999998</v>
      </c>
      <c r="D428" s="3">
        <v>7</v>
      </c>
      <c r="E428" s="3" t="s">
        <v>51</v>
      </c>
      <c r="F428" s="3" t="s">
        <v>126</v>
      </c>
      <c r="G428" s="3">
        <v>3.4476037540000002</v>
      </c>
    </row>
    <row r="429" spans="1:7" x14ac:dyDescent="0.3">
      <c r="A429" s="3" t="s">
        <v>5</v>
      </c>
      <c r="B429" s="3" t="s">
        <v>24</v>
      </c>
      <c r="C429" s="3">
        <v>10.33333333</v>
      </c>
      <c r="D429" s="3">
        <v>8</v>
      </c>
      <c r="E429" s="3" t="s">
        <v>51</v>
      </c>
      <c r="F429" s="3" t="s">
        <v>126</v>
      </c>
      <c r="G429" s="3">
        <v>3.564826805</v>
      </c>
    </row>
    <row r="430" spans="1:7" x14ac:dyDescent="0.3">
      <c r="A430" s="3" t="s">
        <v>5</v>
      </c>
      <c r="B430" s="3" t="s">
        <v>24</v>
      </c>
      <c r="C430" s="3">
        <v>24.3</v>
      </c>
      <c r="D430" s="3">
        <v>9</v>
      </c>
      <c r="E430" s="3" t="s">
        <v>51</v>
      </c>
      <c r="F430" s="3" t="s">
        <v>126</v>
      </c>
      <c r="G430" s="3">
        <v>3.8979240810000002</v>
      </c>
    </row>
    <row r="431" spans="1:7" x14ac:dyDescent="0.3">
      <c r="A431" s="3" t="s">
        <v>5</v>
      </c>
      <c r="B431" s="3" t="s">
        <v>24</v>
      </c>
      <c r="C431" s="3">
        <v>30.128205130000001</v>
      </c>
      <c r="D431" s="3">
        <v>10</v>
      </c>
      <c r="E431" s="3" t="s">
        <v>51</v>
      </c>
      <c r="F431" s="3" t="s">
        <v>126</v>
      </c>
      <c r="G431" s="3">
        <v>4.0096614749999997</v>
      </c>
    </row>
    <row r="432" spans="1:7" x14ac:dyDescent="0.3">
      <c r="A432" s="3" t="s">
        <v>5</v>
      </c>
      <c r="B432" s="3" t="s">
        <v>24</v>
      </c>
      <c r="C432" s="3">
        <v>33.662500000000001</v>
      </c>
      <c r="D432" s="3">
        <v>11</v>
      </c>
      <c r="E432" s="3" t="s">
        <v>51</v>
      </c>
      <c r="F432" s="3" t="s">
        <v>126</v>
      </c>
      <c r="G432" s="3">
        <v>4.071800681</v>
      </c>
    </row>
    <row r="433" spans="1:7" x14ac:dyDescent="0.3">
      <c r="A433" s="3" t="s">
        <v>5</v>
      </c>
      <c r="B433" s="3" t="s">
        <v>24</v>
      </c>
      <c r="C433" s="3">
        <v>33.987179490000003</v>
      </c>
      <c r="D433" s="3">
        <v>12</v>
      </c>
      <c r="E433" s="3" t="s">
        <v>51</v>
      </c>
      <c r="F433" s="3" t="s">
        <v>126</v>
      </c>
      <c r="G433" s="3">
        <v>4.0773201239999999</v>
      </c>
    </row>
    <row r="434" spans="1:7" x14ac:dyDescent="0.3">
      <c r="A434" s="3" t="s">
        <v>5</v>
      </c>
      <c r="B434" s="3" t="s">
        <v>24</v>
      </c>
      <c r="C434" s="3">
        <v>34.962499999999999</v>
      </c>
      <c r="D434" s="3">
        <v>13</v>
      </c>
      <c r="E434" s="3" t="s">
        <v>51</v>
      </c>
      <c r="F434" s="3" t="s">
        <v>126</v>
      </c>
      <c r="G434" s="3">
        <v>4.0937193670000003</v>
      </c>
    </row>
    <row r="435" spans="1:7" x14ac:dyDescent="0.3">
      <c r="A435" s="3" t="s">
        <v>5</v>
      </c>
      <c r="B435" s="3" t="s">
        <v>24</v>
      </c>
      <c r="C435" s="3">
        <v>29.764705880000001</v>
      </c>
      <c r="D435" s="3">
        <v>14</v>
      </c>
      <c r="E435" s="3" t="s">
        <v>51</v>
      </c>
      <c r="F435" s="3" t="s">
        <v>126</v>
      </c>
      <c r="G435" s="3">
        <v>4.0030459330000001</v>
      </c>
    </row>
    <row r="436" spans="1:7" x14ac:dyDescent="0.3">
      <c r="A436" s="3" t="s">
        <v>5</v>
      </c>
      <c r="B436" s="3" t="s">
        <v>24</v>
      </c>
      <c r="C436" s="3">
        <v>20.574999999999999</v>
      </c>
      <c r="D436" s="3">
        <v>47</v>
      </c>
      <c r="E436" s="3" t="s">
        <v>51</v>
      </c>
      <c r="F436" s="3" t="s">
        <v>126</v>
      </c>
      <c r="G436" s="3">
        <v>3.8193593209999999</v>
      </c>
    </row>
    <row r="437" spans="1:7" x14ac:dyDescent="0.3">
      <c r="A437" s="3" t="s">
        <v>5</v>
      </c>
      <c r="B437" s="3" t="s">
        <v>24</v>
      </c>
      <c r="C437" s="3">
        <v>14.975</v>
      </c>
      <c r="D437" s="3">
        <v>48</v>
      </c>
      <c r="E437" s="3" t="s">
        <v>51</v>
      </c>
      <c r="F437" s="3" t="s">
        <v>126</v>
      </c>
      <c r="G437" s="3">
        <v>3.6882542589999998</v>
      </c>
    </row>
    <row r="438" spans="1:7" x14ac:dyDescent="0.3">
      <c r="A438" s="3" t="s">
        <v>5</v>
      </c>
      <c r="B438" s="3" t="s">
        <v>24</v>
      </c>
      <c r="C438" s="3">
        <v>9.0128205129999994</v>
      </c>
      <c r="D438" s="3">
        <v>49</v>
      </c>
      <c r="E438" s="3" t="s">
        <v>51</v>
      </c>
      <c r="F438" s="3" t="s">
        <v>126</v>
      </c>
      <c r="G438" s="3">
        <v>3.5267375269999999</v>
      </c>
    </row>
    <row r="439" spans="1:7" x14ac:dyDescent="0.3">
      <c r="A439" s="3" t="s">
        <v>5</v>
      </c>
      <c r="B439" s="3" t="s">
        <v>24</v>
      </c>
      <c r="C439" s="3">
        <v>11.725</v>
      </c>
      <c r="D439" s="3">
        <v>50</v>
      </c>
      <c r="E439" s="3" t="s">
        <v>51</v>
      </c>
      <c r="F439" s="3" t="s">
        <v>126</v>
      </c>
      <c r="G439" s="3">
        <v>3.6034577219999999</v>
      </c>
    </row>
    <row r="440" spans="1:7" x14ac:dyDescent="0.3">
      <c r="A440" s="3" t="s">
        <v>5</v>
      </c>
      <c r="B440" s="3" t="s">
        <v>24</v>
      </c>
      <c r="C440" s="3">
        <v>10.320512819999999</v>
      </c>
      <c r="D440" s="3">
        <v>51</v>
      </c>
      <c r="E440" s="3" t="s">
        <v>51</v>
      </c>
      <c r="F440" s="3" t="s">
        <v>126</v>
      </c>
      <c r="G440" s="3">
        <v>3.5644638949999998</v>
      </c>
    </row>
    <row r="441" spans="1:7" x14ac:dyDescent="0.3">
      <c r="A441" s="3" t="s">
        <v>5</v>
      </c>
      <c r="B441" s="3" t="s">
        <v>24</v>
      </c>
      <c r="C441" s="3">
        <v>6.3250000000000002</v>
      </c>
      <c r="D441" s="3">
        <v>52</v>
      </c>
      <c r="E441" s="3" t="s">
        <v>51</v>
      </c>
      <c r="F441" s="3" t="s">
        <v>126</v>
      </c>
      <c r="G441" s="3">
        <v>3.4444165010000001</v>
      </c>
    </row>
    <row r="442" spans="1:7" x14ac:dyDescent="0.3">
      <c r="A442" s="3" t="s">
        <v>5</v>
      </c>
      <c r="B442" s="3" t="s">
        <v>24</v>
      </c>
      <c r="C442" s="3">
        <v>6.3035714289999998</v>
      </c>
      <c r="D442" s="3">
        <v>53</v>
      </c>
      <c r="E442" s="3" t="s">
        <v>51</v>
      </c>
      <c r="F442" s="3" t="s">
        <v>126</v>
      </c>
      <c r="G442" s="3">
        <v>3.4437321939999999</v>
      </c>
    </row>
    <row r="443" spans="1:7" x14ac:dyDescent="0.3">
      <c r="A443" s="3" t="s">
        <v>5</v>
      </c>
      <c r="B443" s="3" t="s">
        <v>19</v>
      </c>
      <c r="C443" s="3">
        <v>0.909090909</v>
      </c>
      <c r="D443" s="3">
        <v>1</v>
      </c>
      <c r="E443" s="3" t="s">
        <v>127</v>
      </c>
      <c r="F443" s="3" t="s">
        <v>126</v>
      </c>
      <c r="G443" s="3">
        <v>3.2545939069999998</v>
      </c>
    </row>
    <row r="444" spans="1:7" x14ac:dyDescent="0.3">
      <c r="A444" s="3" t="s">
        <v>5</v>
      </c>
      <c r="B444" s="3" t="s">
        <v>19</v>
      </c>
      <c r="C444" s="3">
        <v>0.9375</v>
      </c>
      <c r="D444" s="3">
        <v>2</v>
      </c>
      <c r="E444" s="3" t="s">
        <v>127</v>
      </c>
      <c r="F444" s="3" t="s">
        <v>126</v>
      </c>
      <c r="G444" s="3">
        <v>3.2556897980000001</v>
      </c>
    </row>
    <row r="445" spans="1:7" x14ac:dyDescent="0.3">
      <c r="A445" s="3" t="s">
        <v>5</v>
      </c>
      <c r="B445" s="3" t="s">
        <v>19</v>
      </c>
      <c r="C445" s="3">
        <v>1.1410256409999999</v>
      </c>
      <c r="D445" s="3">
        <v>3</v>
      </c>
      <c r="E445" s="3" t="s">
        <v>127</v>
      </c>
      <c r="F445" s="3" t="s">
        <v>126</v>
      </c>
      <c r="G445" s="3">
        <v>3.2635059439999998</v>
      </c>
    </row>
    <row r="446" spans="1:7" x14ac:dyDescent="0.3">
      <c r="A446" s="3" t="s">
        <v>5</v>
      </c>
      <c r="B446" s="3" t="s">
        <v>19</v>
      </c>
      <c r="C446" s="3">
        <v>-0.25</v>
      </c>
      <c r="D446" s="3">
        <v>4</v>
      </c>
      <c r="E446" s="3" t="s">
        <v>127</v>
      </c>
      <c r="F446" s="3" t="s">
        <v>126</v>
      </c>
      <c r="G446" s="3">
        <v>3.2088254890000001</v>
      </c>
    </row>
    <row r="447" spans="1:7" x14ac:dyDescent="0.3">
      <c r="A447" s="3" t="s">
        <v>5</v>
      </c>
      <c r="B447" s="3" t="s">
        <v>19</v>
      </c>
      <c r="C447" s="3">
        <v>-1.153846154</v>
      </c>
      <c r="D447" s="3">
        <v>5</v>
      </c>
      <c r="E447" s="3" t="s">
        <v>127</v>
      </c>
      <c r="F447" s="3" t="s">
        <v>126</v>
      </c>
      <c r="G447" s="3">
        <v>3.1716229399999998</v>
      </c>
    </row>
    <row r="448" spans="1:7" x14ac:dyDescent="0.3">
      <c r="A448" s="3" t="s">
        <v>5</v>
      </c>
      <c r="B448" s="3" t="s">
        <v>19</v>
      </c>
      <c r="C448" s="3">
        <v>-0.3125</v>
      </c>
      <c r="D448" s="3">
        <v>6</v>
      </c>
      <c r="E448" s="3" t="s">
        <v>127</v>
      </c>
      <c r="F448" s="3" t="s">
        <v>126</v>
      </c>
      <c r="G448" s="3">
        <v>3.2062970430000002</v>
      </c>
    </row>
    <row r="449" spans="1:7" x14ac:dyDescent="0.3">
      <c r="A449" s="3" t="s">
        <v>5</v>
      </c>
      <c r="B449" s="3" t="s">
        <v>19</v>
      </c>
      <c r="C449" s="3">
        <v>-9.4875000000000007</v>
      </c>
      <c r="D449" s="3">
        <v>7</v>
      </c>
      <c r="E449" s="3" t="s">
        <v>127</v>
      </c>
      <c r="F449" s="3" t="s">
        <v>126</v>
      </c>
      <c r="G449" s="3">
        <v>2.7416461509999999</v>
      </c>
    </row>
    <row r="450" spans="1:7" x14ac:dyDescent="0.3">
      <c r="A450" s="3" t="s">
        <v>5</v>
      </c>
      <c r="B450" s="3" t="s">
        <v>19</v>
      </c>
      <c r="C450" s="3">
        <v>-11.23076923</v>
      </c>
      <c r="D450" s="3">
        <v>8</v>
      </c>
      <c r="E450" s="3" t="s">
        <v>127</v>
      </c>
      <c r="F450" s="3" t="s">
        <v>126</v>
      </c>
      <c r="G450" s="3">
        <v>2.6224364480000002</v>
      </c>
    </row>
    <row r="451" spans="1:7" x14ac:dyDescent="0.3">
      <c r="A451" s="3" t="s">
        <v>5</v>
      </c>
      <c r="B451" s="3" t="s">
        <v>19</v>
      </c>
      <c r="C451" s="3">
        <v>4.3624999999999998</v>
      </c>
      <c r="D451" s="3">
        <v>9</v>
      </c>
      <c r="E451" s="3" t="s">
        <v>127</v>
      </c>
      <c r="F451" s="3" t="s">
        <v>126</v>
      </c>
      <c r="G451" s="3">
        <v>3.3797183500000001</v>
      </c>
    </row>
    <row r="452" spans="1:7" x14ac:dyDescent="0.3">
      <c r="A452" s="3" t="s">
        <v>5</v>
      </c>
      <c r="B452" s="3" t="s">
        <v>19</v>
      </c>
      <c r="C452" s="3">
        <v>5.1410256409999997</v>
      </c>
      <c r="D452" s="3">
        <v>10</v>
      </c>
      <c r="E452" s="3" t="s">
        <v>127</v>
      </c>
      <c r="F452" s="3" t="s">
        <v>126</v>
      </c>
      <c r="G452" s="3">
        <v>3.405887222</v>
      </c>
    </row>
    <row r="453" spans="1:7" x14ac:dyDescent="0.3">
      <c r="A453" s="3" t="s">
        <v>5</v>
      </c>
      <c r="B453" s="3" t="s">
        <v>19</v>
      </c>
      <c r="C453" s="3">
        <v>11.8</v>
      </c>
      <c r="D453" s="3">
        <v>11</v>
      </c>
      <c r="E453" s="3" t="s">
        <v>127</v>
      </c>
      <c r="F453" s="3" t="s">
        <v>126</v>
      </c>
      <c r="G453" s="3">
        <v>3.6054978449999999</v>
      </c>
    </row>
    <row r="454" spans="1:7" x14ac:dyDescent="0.3">
      <c r="A454" s="3" t="s">
        <v>5</v>
      </c>
      <c r="B454" s="3" t="s">
        <v>19</v>
      </c>
      <c r="C454" s="3">
        <v>5.4358974360000003</v>
      </c>
      <c r="D454" s="3">
        <v>12</v>
      </c>
      <c r="E454" s="3" t="s">
        <v>127</v>
      </c>
      <c r="F454" s="3" t="s">
        <v>126</v>
      </c>
      <c r="G454" s="3">
        <v>3.4156227480000001</v>
      </c>
    </row>
    <row r="455" spans="1:7" x14ac:dyDescent="0.3">
      <c r="A455" s="3" t="s">
        <v>5</v>
      </c>
      <c r="B455" s="3" t="s">
        <v>19</v>
      </c>
      <c r="C455" s="3">
        <v>14.15384615</v>
      </c>
      <c r="D455" s="3">
        <v>13</v>
      </c>
      <c r="E455" s="3" t="s">
        <v>127</v>
      </c>
      <c r="F455" s="3" t="s">
        <v>126</v>
      </c>
      <c r="G455" s="3">
        <v>3.667498659</v>
      </c>
    </row>
    <row r="456" spans="1:7" x14ac:dyDescent="0.3">
      <c r="A456" s="3" t="s">
        <v>5</v>
      </c>
      <c r="B456" s="3" t="s">
        <v>19</v>
      </c>
      <c r="C456" s="3">
        <v>12.16666667</v>
      </c>
      <c r="D456" s="3">
        <v>14</v>
      </c>
      <c r="E456" s="3" t="s">
        <v>127</v>
      </c>
      <c r="F456" s="3" t="s">
        <v>126</v>
      </c>
      <c r="G456" s="3">
        <v>3.6154123020000002</v>
      </c>
    </row>
    <row r="457" spans="1:7" x14ac:dyDescent="0.3">
      <c r="A457" s="3" t="s">
        <v>5</v>
      </c>
      <c r="B457" s="3" t="s">
        <v>19</v>
      </c>
      <c r="C457" s="3">
        <v>21.75</v>
      </c>
      <c r="D457" s="3">
        <v>47</v>
      </c>
      <c r="E457" s="3" t="s">
        <v>127</v>
      </c>
      <c r="F457" s="3" t="s">
        <v>126</v>
      </c>
      <c r="G457" s="3">
        <v>3.8448142559999998</v>
      </c>
    </row>
    <row r="458" spans="1:7" x14ac:dyDescent="0.3">
      <c r="A458" s="3" t="s">
        <v>5</v>
      </c>
      <c r="B458" s="3" t="s">
        <v>19</v>
      </c>
      <c r="C458" s="3">
        <v>12.725</v>
      </c>
      <c r="D458" s="3">
        <v>48</v>
      </c>
      <c r="E458" s="3" t="s">
        <v>127</v>
      </c>
      <c r="F458" s="3" t="s">
        <v>126</v>
      </c>
      <c r="G458" s="3">
        <v>3.6303230050000002</v>
      </c>
    </row>
    <row r="459" spans="1:7" x14ac:dyDescent="0.3">
      <c r="A459" s="3" t="s">
        <v>5</v>
      </c>
      <c r="B459" s="3" t="s">
        <v>19</v>
      </c>
      <c r="C459" s="3">
        <v>4.6025641029999997</v>
      </c>
      <c r="D459" s="3">
        <v>49</v>
      </c>
      <c r="E459" s="3" t="s">
        <v>127</v>
      </c>
      <c r="F459" s="3" t="s">
        <v>126</v>
      </c>
      <c r="G459" s="3">
        <v>3.3878609829999999</v>
      </c>
    </row>
    <row r="460" spans="1:7" x14ac:dyDescent="0.3">
      <c r="A460" s="3" t="s">
        <v>5</v>
      </c>
      <c r="B460" s="3" t="s">
        <v>19</v>
      </c>
      <c r="C460" s="3">
        <v>8.7249999999999996</v>
      </c>
      <c r="D460" s="3">
        <v>50</v>
      </c>
      <c r="E460" s="3" t="s">
        <v>127</v>
      </c>
      <c r="F460" s="3" t="s">
        <v>126</v>
      </c>
      <c r="G460" s="3">
        <v>3.5182394019999998</v>
      </c>
    </row>
    <row r="461" spans="1:7" x14ac:dyDescent="0.3">
      <c r="A461" s="3" t="s">
        <v>5</v>
      </c>
      <c r="B461" s="3" t="s">
        <v>19</v>
      </c>
      <c r="C461" s="3">
        <v>2.269230769</v>
      </c>
      <c r="D461" s="3">
        <v>51</v>
      </c>
      <c r="E461" s="3" t="s">
        <v>127</v>
      </c>
      <c r="F461" s="3" t="s">
        <v>126</v>
      </c>
      <c r="G461" s="3">
        <v>3.3057589890000001</v>
      </c>
    </row>
    <row r="462" spans="1:7" x14ac:dyDescent="0.3">
      <c r="A462" s="3" t="s">
        <v>5</v>
      </c>
      <c r="B462" s="3" t="s">
        <v>19</v>
      </c>
      <c r="C462" s="3">
        <v>1.9125000000000001</v>
      </c>
      <c r="D462" s="3">
        <v>52</v>
      </c>
      <c r="E462" s="3" t="s">
        <v>127</v>
      </c>
      <c r="F462" s="3" t="s">
        <v>126</v>
      </c>
      <c r="G462" s="3">
        <v>3.292590863</v>
      </c>
    </row>
    <row r="463" spans="1:7" x14ac:dyDescent="0.3">
      <c r="A463" s="3" t="s">
        <v>5</v>
      </c>
      <c r="B463" s="3" t="s">
        <v>19</v>
      </c>
      <c r="C463" s="3">
        <v>0.73214285700000004</v>
      </c>
      <c r="D463" s="3">
        <v>53</v>
      </c>
      <c r="E463" s="3" t="s">
        <v>127</v>
      </c>
      <c r="F463" s="3" t="s">
        <v>126</v>
      </c>
      <c r="G463" s="3">
        <v>3.2477409050000001</v>
      </c>
    </row>
    <row r="464" spans="1:7" x14ac:dyDescent="0.3">
      <c r="A464" s="3" t="s">
        <v>5</v>
      </c>
      <c r="B464" s="3" t="s">
        <v>28</v>
      </c>
      <c r="C464" s="3">
        <v>14.545454550000001</v>
      </c>
      <c r="D464" s="3">
        <v>1</v>
      </c>
      <c r="E464" s="3" t="s">
        <v>52</v>
      </c>
      <c r="F464" s="3" t="s">
        <v>126</v>
      </c>
      <c r="G464" s="3">
        <v>3.677450758</v>
      </c>
    </row>
    <row r="465" spans="1:7" x14ac:dyDescent="0.3">
      <c r="A465" s="3" t="s">
        <v>5</v>
      </c>
      <c r="B465" s="3" t="s">
        <v>28</v>
      </c>
      <c r="C465" s="3">
        <v>17.425000000000001</v>
      </c>
      <c r="D465" s="3">
        <v>2</v>
      </c>
      <c r="E465" s="3" t="s">
        <v>52</v>
      </c>
      <c r="F465" s="3" t="s">
        <v>126</v>
      </c>
      <c r="G465" s="3">
        <v>3.7477378109999999</v>
      </c>
    </row>
    <row r="466" spans="1:7" x14ac:dyDescent="0.3">
      <c r="A466" s="3" t="s">
        <v>5</v>
      </c>
      <c r="B466" s="3" t="s">
        <v>28</v>
      </c>
      <c r="C466" s="3">
        <v>17.935897440000002</v>
      </c>
      <c r="D466" s="3">
        <v>3</v>
      </c>
      <c r="E466" s="3" t="s">
        <v>52</v>
      </c>
      <c r="F466" s="3" t="s">
        <v>126</v>
      </c>
      <c r="G466" s="3">
        <v>3.7597082460000002</v>
      </c>
    </row>
    <row r="467" spans="1:7" x14ac:dyDescent="0.3">
      <c r="A467" s="3" t="s">
        <v>5</v>
      </c>
      <c r="B467" s="3" t="s">
        <v>28</v>
      </c>
      <c r="C467" s="3">
        <v>20.5</v>
      </c>
      <c r="D467" s="3">
        <v>4</v>
      </c>
      <c r="E467" s="3" t="s">
        <v>52</v>
      </c>
      <c r="F467" s="3" t="s">
        <v>126</v>
      </c>
      <c r="G467" s="3">
        <v>3.8177123260000001</v>
      </c>
    </row>
    <row r="468" spans="1:7" x14ac:dyDescent="0.3">
      <c r="A468" s="3" t="s">
        <v>5</v>
      </c>
      <c r="B468" s="3" t="s">
        <v>28</v>
      </c>
      <c r="C468" s="3">
        <v>20.666666670000001</v>
      </c>
      <c r="D468" s="3">
        <v>5</v>
      </c>
      <c r="E468" s="3" t="s">
        <v>52</v>
      </c>
      <c r="F468" s="3" t="s">
        <v>126</v>
      </c>
      <c r="G468" s="3">
        <v>3.821368637</v>
      </c>
    </row>
    <row r="469" spans="1:7" x14ac:dyDescent="0.3">
      <c r="A469" s="3" t="s">
        <v>5</v>
      </c>
      <c r="B469" s="3" t="s">
        <v>28</v>
      </c>
      <c r="C469" s="3">
        <v>28.237500000000001</v>
      </c>
      <c r="D469" s="3">
        <v>6</v>
      </c>
      <c r="E469" s="3" t="s">
        <v>52</v>
      </c>
      <c r="F469" s="3" t="s">
        <v>126</v>
      </c>
      <c r="G469" s="3">
        <v>3.9747630350000001</v>
      </c>
    </row>
    <row r="470" spans="1:7" x14ac:dyDescent="0.3">
      <c r="A470" s="3" t="s">
        <v>5</v>
      </c>
      <c r="B470" s="3" t="s">
        <v>28</v>
      </c>
      <c r="C470" s="3">
        <v>24.57692308</v>
      </c>
      <c r="D470" s="3">
        <v>7</v>
      </c>
      <c r="E470" s="3" t="s">
        <v>52</v>
      </c>
      <c r="F470" s="3" t="s">
        <v>126</v>
      </c>
      <c r="G470" s="3">
        <v>3.903525465</v>
      </c>
    </row>
    <row r="471" spans="1:7" x14ac:dyDescent="0.3">
      <c r="A471" s="3" t="s">
        <v>5</v>
      </c>
      <c r="B471" s="3" t="s">
        <v>28</v>
      </c>
      <c r="C471" s="3">
        <v>23.487500000000001</v>
      </c>
      <c r="D471" s="3">
        <v>8</v>
      </c>
      <c r="E471" s="3" t="s">
        <v>52</v>
      </c>
      <c r="F471" s="3" t="s">
        <v>126</v>
      </c>
      <c r="G471" s="3">
        <v>3.881306033</v>
      </c>
    </row>
    <row r="472" spans="1:7" x14ac:dyDescent="0.3">
      <c r="A472" s="3" t="s">
        <v>5</v>
      </c>
      <c r="B472" s="3" t="s">
        <v>28</v>
      </c>
      <c r="C472" s="3">
        <v>28.897435900000001</v>
      </c>
      <c r="D472" s="3">
        <v>9</v>
      </c>
      <c r="E472" s="3" t="s">
        <v>52</v>
      </c>
      <c r="F472" s="3" t="s">
        <v>126</v>
      </c>
      <c r="G472" s="3">
        <v>3.9870829049999998</v>
      </c>
    </row>
    <row r="473" spans="1:7" x14ac:dyDescent="0.3">
      <c r="A473" s="3" t="s">
        <v>5</v>
      </c>
      <c r="B473" s="3" t="s">
        <v>28</v>
      </c>
      <c r="C473" s="3">
        <v>33.962499999999999</v>
      </c>
      <c r="D473" s="3">
        <v>10</v>
      </c>
      <c r="E473" s="3" t="s">
        <v>52</v>
      </c>
      <c r="F473" s="3" t="s">
        <v>126</v>
      </c>
      <c r="G473" s="3">
        <v>4.0769016489999998</v>
      </c>
    </row>
    <row r="474" spans="1:7" x14ac:dyDescent="0.3">
      <c r="A474" s="3" t="s">
        <v>5</v>
      </c>
      <c r="B474" s="3" t="s">
        <v>28</v>
      </c>
      <c r="C474" s="3">
        <v>35.125</v>
      </c>
      <c r="D474" s="3">
        <v>11</v>
      </c>
      <c r="E474" s="3" t="s">
        <v>52</v>
      </c>
      <c r="F474" s="3" t="s">
        <v>126</v>
      </c>
      <c r="G474" s="3">
        <v>4.0964257279999998</v>
      </c>
    </row>
    <row r="475" spans="1:7" x14ac:dyDescent="0.3">
      <c r="A475" s="3" t="s">
        <v>5</v>
      </c>
      <c r="B475" s="3" t="s">
        <v>28</v>
      </c>
      <c r="C475" s="3">
        <v>34.794871790000002</v>
      </c>
      <c r="D475" s="3">
        <v>12</v>
      </c>
      <c r="E475" s="3" t="s">
        <v>52</v>
      </c>
      <c r="F475" s="3" t="s">
        <v>126</v>
      </c>
      <c r="G475" s="3">
        <v>4.0909199010000004</v>
      </c>
    </row>
    <row r="476" spans="1:7" x14ac:dyDescent="0.3">
      <c r="A476" s="3" t="s">
        <v>5</v>
      </c>
      <c r="B476" s="3" t="s">
        <v>28</v>
      </c>
      <c r="C476" s="3">
        <v>35.282051279999997</v>
      </c>
      <c r="D476" s="3">
        <v>13</v>
      </c>
      <c r="E476" s="3" t="s">
        <v>52</v>
      </c>
      <c r="F476" s="3" t="s">
        <v>126</v>
      </c>
      <c r="G476" s="3">
        <v>4.099034402</v>
      </c>
    </row>
    <row r="477" spans="1:7" x14ac:dyDescent="0.3">
      <c r="A477" s="3" t="s">
        <v>5</v>
      </c>
      <c r="B477" s="3" t="s">
        <v>28</v>
      </c>
      <c r="C477" s="3">
        <v>34.117647060000003</v>
      </c>
      <c r="D477" s="3">
        <v>14</v>
      </c>
      <c r="E477" s="3" t="s">
        <v>52</v>
      </c>
      <c r="F477" s="3" t="s">
        <v>126</v>
      </c>
      <c r="G477" s="3">
        <v>4.0795294760000003</v>
      </c>
    </row>
    <row r="478" spans="1:7" x14ac:dyDescent="0.3">
      <c r="A478" s="3" t="s">
        <v>5</v>
      </c>
      <c r="B478" s="3" t="s">
        <v>28</v>
      </c>
      <c r="C478" s="3">
        <v>19.824999999999999</v>
      </c>
      <c r="D478" s="3">
        <v>47</v>
      </c>
      <c r="E478" s="3" t="s">
        <v>52</v>
      </c>
      <c r="F478" s="3" t="s">
        <v>126</v>
      </c>
      <c r="G478" s="3">
        <v>3.8027660189999999</v>
      </c>
    </row>
    <row r="479" spans="1:7" x14ac:dyDescent="0.3">
      <c r="A479" s="3" t="s">
        <v>5</v>
      </c>
      <c r="B479" s="3" t="s">
        <v>28</v>
      </c>
      <c r="C479" s="3">
        <v>14.3125</v>
      </c>
      <c r="D479" s="3">
        <v>48</v>
      </c>
      <c r="E479" s="3" t="s">
        <v>52</v>
      </c>
      <c r="F479" s="3" t="s">
        <v>126</v>
      </c>
      <c r="G479" s="3">
        <v>3.6715425339999999</v>
      </c>
    </row>
    <row r="480" spans="1:7" x14ac:dyDescent="0.3">
      <c r="A480" s="3" t="s">
        <v>5</v>
      </c>
      <c r="B480" s="3" t="s">
        <v>28</v>
      </c>
      <c r="C480" s="3">
        <v>11.141025640000001</v>
      </c>
      <c r="D480" s="3">
        <v>49</v>
      </c>
      <c r="E480" s="3" t="s">
        <v>52</v>
      </c>
      <c r="F480" s="3" t="s">
        <v>126</v>
      </c>
      <c r="G480" s="3">
        <v>3.5874286639999999</v>
      </c>
    </row>
    <row r="481" spans="1:7" x14ac:dyDescent="0.3">
      <c r="A481" s="3" t="s">
        <v>5</v>
      </c>
      <c r="B481" s="3" t="s">
        <v>28</v>
      </c>
      <c r="C481" s="3">
        <v>14.025</v>
      </c>
      <c r="D481" s="3">
        <v>50</v>
      </c>
      <c r="E481" s="3" t="s">
        <v>52</v>
      </c>
      <c r="F481" s="3" t="s">
        <v>126</v>
      </c>
      <c r="G481" s="3">
        <v>3.6642024659999999</v>
      </c>
    </row>
    <row r="482" spans="1:7" x14ac:dyDescent="0.3">
      <c r="A482" s="3" t="s">
        <v>5</v>
      </c>
      <c r="B482" s="3" t="s">
        <v>28</v>
      </c>
      <c r="C482" s="3">
        <v>15.589743589999999</v>
      </c>
      <c r="D482" s="3">
        <v>51</v>
      </c>
      <c r="E482" s="3" t="s">
        <v>52</v>
      </c>
      <c r="F482" s="3" t="s">
        <v>126</v>
      </c>
      <c r="G482" s="3">
        <v>3.703515414</v>
      </c>
    </row>
    <row r="483" spans="1:7" x14ac:dyDescent="0.3">
      <c r="A483" s="3" t="s">
        <v>5</v>
      </c>
      <c r="B483" s="3" t="s">
        <v>28</v>
      </c>
      <c r="C483" s="3">
        <v>15.925000000000001</v>
      </c>
      <c r="D483" s="3">
        <v>52</v>
      </c>
      <c r="E483" s="3" t="s">
        <v>52</v>
      </c>
      <c r="F483" s="3" t="s">
        <v>126</v>
      </c>
      <c r="G483" s="3">
        <v>3.7117411229999999</v>
      </c>
    </row>
    <row r="484" spans="1:7" x14ac:dyDescent="0.3">
      <c r="A484" s="3" t="s">
        <v>5</v>
      </c>
      <c r="B484" s="3" t="s">
        <v>28</v>
      </c>
      <c r="C484" s="3">
        <v>13.98214286</v>
      </c>
      <c r="D484" s="3">
        <v>53</v>
      </c>
      <c r="E484" s="3" t="s">
        <v>52</v>
      </c>
      <c r="F484" s="3" t="s">
        <v>126</v>
      </c>
      <c r="G484" s="3">
        <v>3.663103666</v>
      </c>
    </row>
    <row r="485" spans="1:7" x14ac:dyDescent="0.3">
      <c r="A485" s="3" t="s">
        <v>4</v>
      </c>
      <c r="B485" s="3" t="s">
        <v>25</v>
      </c>
      <c r="C485" s="3">
        <v>28.136363639999999</v>
      </c>
      <c r="D485" s="3">
        <v>1</v>
      </c>
      <c r="E485" s="3" t="s">
        <v>51</v>
      </c>
      <c r="F485" s="3" t="s">
        <v>126</v>
      </c>
      <c r="G485" s="3">
        <v>3.9728615079999998</v>
      </c>
    </row>
    <row r="486" spans="1:7" x14ac:dyDescent="0.3">
      <c r="A486" s="3" t="s">
        <v>4</v>
      </c>
      <c r="B486" s="3" t="s">
        <v>25</v>
      </c>
      <c r="C486" s="3">
        <v>29.15</v>
      </c>
      <c r="D486" s="3">
        <v>2</v>
      </c>
      <c r="E486" s="3" t="s">
        <v>51</v>
      </c>
      <c r="F486" s="3" t="s">
        <v>126</v>
      </c>
      <c r="G486" s="3">
        <v>3.9917579729999999</v>
      </c>
    </row>
    <row r="487" spans="1:7" x14ac:dyDescent="0.3">
      <c r="A487" s="3" t="s">
        <v>4</v>
      </c>
      <c r="B487" s="3" t="s">
        <v>25</v>
      </c>
      <c r="C487" s="3">
        <v>27.57692308</v>
      </c>
      <c r="D487" s="3">
        <v>3</v>
      </c>
      <c r="E487" s="3" t="s">
        <v>51</v>
      </c>
      <c r="F487" s="3" t="s">
        <v>126</v>
      </c>
      <c r="G487" s="3">
        <v>3.9622772990000001</v>
      </c>
    </row>
    <row r="488" spans="1:7" x14ac:dyDescent="0.3">
      <c r="A488" s="3" t="s">
        <v>4</v>
      </c>
      <c r="B488" s="3" t="s">
        <v>25</v>
      </c>
      <c r="C488" s="3">
        <v>28.4375</v>
      </c>
      <c r="D488" s="3">
        <v>4</v>
      </c>
      <c r="E488" s="3" t="s">
        <v>51</v>
      </c>
      <c r="F488" s="3" t="s">
        <v>126</v>
      </c>
      <c r="G488" s="3">
        <v>3.9785127469999999</v>
      </c>
    </row>
    <row r="489" spans="1:7" x14ac:dyDescent="0.3">
      <c r="A489" s="3" t="s">
        <v>4</v>
      </c>
      <c r="B489" s="3" t="s">
        <v>25</v>
      </c>
      <c r="C489" s="3">
        <v>23.53846154</v>
      </c>
      <c r="D489" s="3">
        <v>5</v>
      </c>
      <c r="E489" s="3" t="s">
        <v>51</v>
      </c>
      <c r="F489" s="3" t="s">
        <v>126</v>
      </c>
      <c r="G489" s="3">
        <v>3.8823565050000002</v>
      </c>
    </row>
    <row r="490" spans="1:7" x14ac:dyDescent="0.3">
      <c r="A490" s="3" t="s">
        <v>4</v>
      </c>
      <c r="B490" s="3" t="s">
        <v>25</v>
      </c>
      <c r="C490" s="3">
        <v>24.762499999999999</v>
      </c>
      <c r="D490" s="3">
        <v>6</v>
      </c>
      <c r="E490" s="3" t="s">
        <v>51</v>
      </c>
      <c r="F490" s="3" t="s">
        <v>126</v>
      </c>
      <c r="G490" s="3">
        <v>3.9072616880000002</v>
      </c>
    </row>
    <row r="491" spans="1:7" x14ac:dyDescent="0.3">
      <c r="A491" s="3" t="s">
        <v>4</v>
      </c>
      <c r="B491" s="3" t="s">
        <v>25</v>
      </c>
      <c r="C491" s="3">
        <v>4.5250000000000004</v>
      </c>
      <c r="D491" s="3">
        <v>7</v>
      </c>
      <c r="E491" s="3" t="s">
        <v>51</v>
      </c>
      <c r="F491" s="3" t="s">
        <v>126</v>
      </c>
      <c r="G491" s="3">
        <v>3.3852373619999998</v>
      </c>
    </row>
    <row r="492" spans="1:7" x14ac:dyDescent="0.3">
      <c r="A492" s="3" t="s">
        <v>4</v>
      </c>
      <c r="B492" s="3" t="s">
        <v>25</v>
      </c>
      <c r="C492" s="3">
        <v>-9.115384615</v>
      </c>
      <c r="D492" s="3">
        <v>8</v>
      </c>
      <c r="E492" s="3" t="s">
        <v>51</v>
      </c>
      <c r="F492" s="3" t="s">
        <v>126</v>
      </c>
      <c r="G492" s="3">
        <v>2.765351055</v>
      </c>
    </row>
    <row r="493" spans="1:7" x14ac:dyDescent="0.3">
      <c r="A493" s="3" t="s">
        <v>4</v>
      </c>
      <c r="B493" s="3" t="s">
        <v>25</v>
      </c>
      <c r="C493" s="3">
        <v>4</v>
      </c>
      <c r="D493" s="3">
        <v>9</v>
      </c>
      <c r="E493" s="3" t="s">
        <v>51</v>
      </c>
      <c r="F493" s="3" t="s">
        <v>126</v>
      </c>
      <c r="G493" s="3">
        <v>3.3672958300000002</v>
      </c>
    </row>
    <row r="494" spans="1:7" x14ac:dyDescent="0.3">
      <c r="A494" s="3" t="s">
        <v>4</v>
      </c>
      <c r="B494" s="3" t="s">
        <v>25</v>
      </c>
      <c r="C494" s="3">
        <v>5.2435897440000003</v>
      </c>
      <c r="D494" s="3">
        <v>10</v>
      </c>
      <c r="E494" s="3" t="s">
        <v>51</v>
      </c>
      <c r="F494" s="3" t="s">
        <v>126</v>
      </c>
      <c r="G494" s="3">
        <v>3.409284253</v>
      </c>
    </row>
    <row r="495" spans="1:7" x14ac:dyDescent="0.3">
      <c r="A495" s="3" t="s">
        <v>4</v>
      </c>
      <c r="B495" s="3" t="s">
        <v>25</v>
      </c>
      <c r="C495" s="3">
        <v>11.85</v>
      </c>
      <c r="D495" s="3">
        <v>11</v>
      </c>
      <c r="E495" s="3" t="s">
        <v>51</v>
      </c>
      <c r="F495" s="3" t="s">
        <v>126</v>
      </c>
      <c r="G495" s="3">
        <v>3.6068556190000001</v>
      </c>
    </row>
    <row r="496" spans="1:7" x14ac:dyDescent="0.3">
      <c r="A496" s="3" t="s">
        <v>4</v>
      </c>
      <c r="B496" s="3" t="s">
        <v>25</v>
      </c>
      <c r="C496" s="3">
        <v>6.8717948719999997</v>
      </c>
      <c r="D496" s="3">
        <v>12</v>
      </c>
      <c r="E496" s="3" t="s">
        <v>51</v>
      </c>
      <c r="F496" s="3" t="s">
        <v>126</v>
      </c>
      <c r="G496" s="3">
        <v>3.4617214449999998</v>
      </c>
    </row>
    <row r="497" spans="1:7" x14ac:dyDescent="0.3">
      <c r="A497" s="3" t="s">
        <v>4</v>
      </c>
      <c r="B497" s="3" t="s">
        <v>25</v>
      </c>
      <c r="C497" s="3">
        <v>12.87179487</v>
      </c>
      <c r="D497" s="3">
        <v>13</v>
      </c>
      <c r="E497" s="3" t="s">
        <v>51</v>
      </c>
      <c r="F497" s="3" t="s">
        <v>126</v>
      </c>
      <c r="G497" s="3">
        <v>3.634206636</v>
      </c>
    </row>
    <row r="498" spans="1:7" x14ac:dyDescent="0.3">
      <c r="A498" s="3" t="s">
        <v>4</v>
      </c>
      <c r="B498" s="3" t="s">
        <v>25</v>
      </c>
      <c r="C498" s="3">
        <v>14.764705879999999</v>
      </c>
      <c r="D498" s="3">
        <v>14</v>
      </c>
      <c r="E498" s="3" t="s">
        <v>51</v>
      </c>
      <c r="F498" s="3" t="s">
        <v>126</v>
      </c>
      <c r="G498" s="3">
        <v>3.6829797320000002</v>
      </c>
    </row>
    <row r="499" spans="1:7" x14ac:dyDescent="0.3">
      <c r="A499" s="3" t="s">
        <v>4</v>
      </c>
      <c r="B499" s="3" t="s">
        <v>25</v>
      </c>
      <c r="C499" s="3">
        <v>26.324999999999999</v>
      </c>
      <c r="D499" s="3">
        <v>47</v>
      </c>
      <c r="E499" s="3" t="s">
        <v>51</v>
      </c>
      <c r="F499" s="3" t="s">
        <v>126</v>
      </c>
      <c r="G499" s="3">
        <v>3.9381779629999998</v>
      </c>
    </row>
    <row r="500" spans="1:7" x14ac:dyDescent="0.3">
      <c r="A500" s="3" t="s">
        <v>4</v>
      </c>
      <c r="B500" s="3" t="s">
        <v>25</v>
      </c>
      <c r="C500" s="3">
        <v>32.987499999999997</v>
      </c>
      <c r="D500" s="3">
        <v>48</v>
      </c>
      <c r="E500" s="3" t="s">
        <v>51</v>
      </c>
      <c r="F500" s="3" t="s">
        <v>126</v>
      </c>
      <c r="G500" s="3">
        <v>4.0602274700000001</v>
      </c>
    </row>
    <row r="501" spans="1:7" x14ac:dyDescent="0.3">
      <c r="A501" s="3" t="s">
        <v>4</v>
      </c>
      <c r="B501" s="3" t="s">
        <v>25</v>
      </c>
      <c r="C501" s="3">
        <v>28.410256409999999</v>
      </c>
      <c r="D501" s="3">
        <v>49</v>
      </c>
      <c r="E501" s="3" t="s">
        <v>51</v>
      </c>
      <c r="F501" s="3" t="s">
        <v>126</v>
      </c>
      <c r="G501" s="3">
        <v>3.9780027950000001</v>
      </c>
    </row>
    <row r="502" spans="1:7" x14ac:dyDescent="0.3">
      <c r="A502" s="3" t="s">
        <v>4</v>
      </c>
      <c r="B502" s="3" t="s">
        <v>25</v>
      </c>
      <c r="C502" s="3">
        <v>28.9375</v>
      </c>
      <c r="D502" s="3">
        <v>50</v>
      </c>
      <c r="E502" s="3" t="s">
        <v>51</v>
      </c>
      <c r="F502" s="3" t="s">
        <v>126</v>
      </c>
      <c r="G502" s="3">
        <v>3.9878259690000002</v>
      </c>
    </row>
    <row r="503" spans="1:7" x14ac:dyDescent="0.3">
      <c r="A503" s="3" t="s">
        <v>4</v>
      </c>
      <c r="B503" s="3" t="s">
        <v>25</v>
      </c>
      <c r="C503" s="3">
        <v>32.42307692</v>
      </c>
      <c r="D503" s="3">
        <v>51</v>
      </c>
      <c r="E503" s="3" t="s">
        <v>51</v>
      </c>
      <c r="F503" s="3" t="s">
        <v>126</v>
      </c>
      <c r="G503" s="3">
        <v>4.0504462590000001</v>
      </c>
    </row>
    <row r="504" spans="1:7" x14ac:dyDescent="0.3">
      <c r="A504" s="3" t="s">
        <v>4</v>
      </c>
      <c r="B504" s="3" t="s">
        <v>25</v>
      </c>
      <c r="C504" s="3">
        <v>29.962499999999999</v>
      </c>
      <c r="D504" s="3">
        <v>52</v>
      </c>
      <c r="E504" s="3" t="s">
        <v>51</v>
      </c>
      <c r="F504" s="3" t="s">
        <v>126</v>
      </c>
      <c r="G504" s="3">
        <v>4.0066511350000003</v>
      </c>
    </row>
    <row r="505" spans="1:7" x14ac:dyDescent="0.3">
      <c r="A505" s="3" t="s">
        <v>4</v>
      </c>
      <c r="B505" s="3" t="s">
        <v>25</v>
      </c>
      <c r="C505" s="3">
        <v>28.660714290000001</v>
      </c>
      <c r="D505" s="3">
        <v>53</v>
      </c>
      <c r="E505" s="3" t="s">
        <v>51</v>
      </c>
      <c r="F505" s="3" t="s">
        <v>126</v>
      </c>
      <c r="G505" s="3">
        <v>3.9826811559999999</v>
      </c>
    </row>
    <row r="506" spans="1:7" x14ac:dyDescent="0.3">
      <c r="A506" s="3" t="s">
        <v>5</v>
      </c>
      <c r="B506" s="3" t="s">
        <v>11</v>
      </c>
      <c r="C506" s="3">
        <v>31.09090909</v>
      </c>
      <c r="D506" s="3">
        <v>1</v>
      </c>
      <c r="E506" s="3" t="s">
        <v>127</v>
      </c>
      <c r="F506" s="3" t="s">
        <v>126</v>
      </c>
      <c r="G506" s="3">
        <v>4.0269737509999999</v>
      </c>
    </row>
    <row r="507" spans="1:7" x14ac:dyDescent="0.3">
      <c r="A507" s="3" t="s">
        <v>5</v>
      </c>
      <c r="B507" s="3" t="s">
        <v>11</v>
      </c>
      <c r="C507" s="3">
        <v>32.512500000000003</v>
      </c>
      <c r="D507" s="3">
        <v>2</v>
      </c>
      <c r="E507" s="3" t="s">
        <v>127</v>
      </c>
      <c r="F507" s="3" t="s">
        <v>126</v>
      </c>
      <c r="G507" s="3">
        <v>4.0520023150000002</v>
      </c>
    </row>
    <row r="508" spans="1:7" x14ac:dyDescent="0.3">
      <c r="A508" s="3" t="s">
        <v>5</v>
      </c>
      <c r="B508" s="3" t="s">
        <v>11</v>
      </c>
      <c r="C508" s="3">
        <v>32.935897439999998</v>
      </c>
      <c r="D508" s="3">
        <v>3</v>
      </c>
      <c r="E508" s="3" t="s">
        <v>127</v>
      </c>
      <c r="F508" s="3" t="s">
        <v>126</v>
      </c>
      <c r="G508" s="3">
        <v>4.0593371830000002</v>
      </c>
    </row>
    <row r="509" spans="1:7" x14ac:dyDescent="0.3">
      <c r="A509" s="3" t="s">
        <v>5</v>
      </c>
      <c r="B509" s="3" t="s">
        <v>11</v>
      </c>
      <c r="C509" s="3">
        <v>33.75</v>
      </c>
      <c r="D509" s="3">
        <v>4</v>
      </c>
      <c r="E509" s="3" t="s">
        <v>127</v>
      </c>
      <c r="F509" s="3" t="s">
        <v>126</v>
      </c>
      <c r="G509" s="3">
        <v>4.0732911530000004</v>
      </c>
    </row>
    <row r="510" spans="1:7" x14ac:dyDescent="0.3">
      <c r="A510" s="3" t="s">
        <v>5</v>
      </c>
      <c r="B510" s="3" t="s">
        <v>11</v>
      </c>
      <c r="C510" s="3">
        <v>33.975000000000001</v>
      </c>
      <c r="D510" s="3">
        <v>5</v>
      </c>
      <c r="E510" s="3" t="s">
        <v>127</v>
      </c>
      <c r="F510" s="3" t="s">
        <v>126</v>
      </c>
      <c r="G510" s="3">
        <v>4.077113625</v>
      </c>
    </row>
    <row r="511" spans="1:7" x14ac:dyDescent="0.3">
      <c r="A511" s="3" t="s">
        <v>5</v>
      </c>
      <c r="B511" s="3" t="s">
        <v>11</v>
      </c>
      <c r="C511" s="3">
        <v>34.064102560000002</v>
      </c>
      <c r="D511" s="3">
        <v>6</v>
      </c>
      <c r="E511" s="3" t="s">
        <v>127</v>
      </c>
      <c r="F511" s="3" t="s">
        <v>126</v>
      </c>
      <c r="G511" s="3">
        <v>4.0786233379999999</v>
      </c>
    </row>
    <row r="512" spans="1:7" x14ac:dyDescent="0.3">
      <c r="A512" s="3" t="s">
        <v>5</v>
      </c>
      <c r="B512" s="3" t="s">
        <v>11</v>
      </c>
      <c r="C512" s="3">
        <v>34.387500000000003</v>
      </c>
      <c r="D512" s="3">
        <v>7</v>
      </c>
      <c r="E512" s="3" t="s">
        <v>127</v>
      </c>
      <c r="F512" s="3" t="s">
        <v>126</v>
      </c>
      <c r="G512" s="3">
        <v>4.0840837670000001</v>
      </c>
    </row>
    <row r="513" spans="1:7" x14ac:dyDescent="0.3">
      <c r="A513" s="3" t="s">
        <v>5</v>
      </c>
      <c r="B513" s="3" t="s">
        <v>11</v>
      </c>
      <c r="C513" s="3">
        <v>34.282051279999997</v>
      </c>
      <c r="D513" s="3">
        <v>8</v>
      </c>
      <c r="E513" s="3" t="s">
        <v>127</v>
      </c>
      <c r="F513" s="3" t="s">
        <v>126</v>
      </c>
      <c r="G513" s="3">
        <v>4.0823065840000003</v>
      </c>
    </row>
    <row r="514" spans="1:7" x14ac:dyDescent="0.3">
      <c r="A514" s="3" t="s">
        <v>5</v>
      </c>
      <c r="B514" s="3" t="s">
        <v>11</v>
      </c>
      <c r="C514" s="3">
        <v>33.049999999999997</v>
      </c>
      <c r="D514" s="3">
        <v>9</v>
      </c>
      <c r="E514" s="3" t="s">
        <v>127</v>
      </c>
      <c r="F514" s="3" t="s">
        <v>126</v>
      </c>
      <c r="G514" s="3">
        <v>4.0613047079999998</v>
      </c>
    </row>
    <row r="515" spans="1:7" x14ac:dyDescent="0.3">
      <c r="A515" s="3" t="s">
        <v>5</v>
      </c>
      <c r="B515" s="3" t="s">
        <v>11</v>
      </c>
      <c r="C515" s="3">
        <v>34.30769231</v>
      </c>
      <c r="D515" s="3">
        <v>10</v>
      </c>
      <c r="E515" s="3" t="s">
        <v>127</v>
      </c>
      <c r="F515" s="3" t="s">
        <v>126</v>
      </c>
      <c r="G515" s="3">
        <v>4.0827390159999997</v>
      </c>
    </row>
    <row r="516" spans="1:7" x14ac:dyDescent="0.3">
      <c r="A516" s="3" t="s">
        <v>5</v>
      </c>
      <c r="B516" s="3" t="s">
        <v>11</v>
      </c>
      <c r="C516" s="3">
        <v>35.662500000000001</v>
      </c>
      <c r="D516" s="3">
        <v>11</v>
      </c>
      <c r="E516" s="3" t="s">
        <v>127</v>
      </c>
      <c r="F516" s="3" t="s">
        <v>126</v>
      </c>
      <c r="G516" s="3">
        <v>4.1053257150000002</v>
      </c>
    </row>
    <row r="517" spans="1:7" x14ac:dyDescent="0.3">
      <c r="A517" s="3" t="s">
        <v>5</v>
      </c>
      <c r="B517" s="3" t="s">
        <v>11</v>
      </c>
      <c r="C517" s="3">
        <v>35.358974359999998</v>
      </c>
      <c r="D517" s="3">
        <v>12</v>
      </c>
      <c r="E517" s="3" t="s">
        <v>127</v>
      </c>
      <c r="F517" s="3" t="s">
        <v>126</v>
      </c>
      <c r="G517" s="3">
        <v>4.100309642</v>
      </c>
    </row>
    <row r="518" spans="1:7" x14ac:dyDescent="0.3">
      <c r="A518" s="3" t="s">
        <v>5</v>
      </c>
      <c r="B518" s="3" t="s">
        <v>11</v>
      </c>
      <c r="C518" s="3">
        <v>35.762500000000003</v>
      </c>
      <c r="D518" s="3">
        <v>13</v>
      </c>
      <c r="E518" s="3" t="s">
        <v>127</v>
      </c>
      <c r="F518" s="3" t="s">
        <v>126</v>
      </c>
      <c r="G518" s="3">
        <v>4.1069728220000004</v>
      </c>
    </row>
    <row r="519" spans="1:7" x14ac:dyDescent="0.3">
      <c r="A519" s="3" t="s">
        <v>5</v>
      </c>
      <c r="B519" s="3" t="s">
        <v>11</v>
      </c>
      <c r="C519" s="3">
        <v>35.03125</v>
      </c>
      <c r="D519" s="3">
        <v>14</v>
      </c>
      <c r="E519" s="3" t="s">
        <v>127</v>
      </c>
      <c r="F519" s="3" t="s">
        <v>126</v>
      </c>
      <c r="G519" s="3">
        <v>4.0948652599999997</v>
      </c>
    </row>
    <row r="520" spans="1:7" x14ac:dyDescent="0.3">
      <c r="A520" s="3" t="s">
        <v>5</v>
      </c>
      <c r="B520" s="3" t="s">
        <v>11</v>
      </c>
      <c r="C520" s="3">
        <v>24.95</v>
      </c>
      <c r="D520" s="3">
        <v>47</v>
      </c>
      <c r="E520" s="3" t="s">
        <v>127</v>
      </c>
      <c r="F520" s="3" t="s">
        <v>126</v>
      </c>
      <c r="G520" s="3">
        <v>3.911022505</v>
      </c>
    </row>
    <row r="521" spans="1:7" x14ac:dyDescent="0.3">
      <c r="A521" s="3" t="s">
        <v>5</v>
      </c>
      <c r="B521" s="3" t="s">
        <v>11</v>
      </c>
      <c r="C521" s="3">
        <v>32.462499999999999</v>
      </c>
      <c r="D521" s="3">
        <v>48</v>
      </c>
      <c r="E521" s="3" t="s">
        <v>127</v>
      </c>
      <c r="F521" s="3" t="s">
        <v>126</v>
      </c>
      <c r="G521" s="3">
        <v>4.0511325610000002</v>
      </c>
    </row>
    <row r="522" spans="1:7" x14ac:dyDescent="0.3">
      <c r="A522" s="3" t="s">
        <v>5</v>
      </c>
      <c r="B522" s="3" t="s">
        <v>11</v>
      </c>
      <c r="C522" s="3">
        <v>30.589743590000001</v>
      </c>
      <c r="D522" s="3">
        <v>49</v>
      </c>
      <c r="E522" s="3" t="s">
        <v>127</v>
      </c>
      <c r="F522" s="3" t="s">
        <v>126</v>
      </c>
      <c r="G522" s="3">
        <v>4.0179987160000001</v>
      </c>
    </row>
    <row r="523" spans="1:7" x14ac:dyDescent="0.3">
      <c r="A523" s="3" t="s">
        <v>5</v>
      </c>
      <c r="B523" s="3" t="s">
        <v>11</v>
      </c>
      <c r="C523" s="3">
        <v>30.175000000000001</v>
      </c>
      <c r="D523" s="3">
        <v>50</v>
      </c>
      <c r="E523" s="3" t="s">
        <v>127</v>
      </c>
      <c r="F523" s="3" t="s">
        <v>126</v>
      </c>
      <c r="G523" s="3">
        <v>4.0105099519999996</v>
      </c>
    </row>
    <row r="524" spans="1:7" x14ac:dyDescent="0.3">
      <c r="A524" s="3" t="s">
        <v>5</v>
      </c>
      <c r="B524" s="3" t="s">
        <v>11</v>
      </c>
      <c r="C524" s="3">
        <v>31.910256409999999</v>
      </c>
      <c r="D524" s="3">
        <v>51</v>
      </c>
      <c r="E524" s="3" t="s">
        <v>127</v>
      </c>
      <c r="F524" s="3" t="s">
        <v>126</v>
      </c>
      <c r="G524" s="3">
        <v>4.041475578</v>
      </c>
    </row>
    <row r="525" spans="1:7" x14ac:dyDescent="0.3">
      <c r="A525" s="3" t="s">
        <v>5</v>
      </c>
      <c r="B525" s="3" t="s">
        <v>11</v>
      </c>
      <c r="C525" s="3">
        <v>31.475000000000001</v>
      </c>
      <c r="D525" s="3">
        <v>52</v>
      </c>
      <c r="E525" s="3" t="s">
        <v>127</v>
      </c>
      <c r="F525" s="3" t="s">
        <v>126</v>
      </c>
      <c r="G525" s="3">
        <v>4.0337980619999998</v>
      </c>
    </row>
    <row r="526" spans="1:7" x14ac:dyDescent="0.3">
      <c r="A526" s="3" t="s">
        <v>5</v>
      </c>
      <c r="B526" s="3" t="s">
        <v>11</v>
      </c>
      <c r="C526" s="3">
        <v>30.553571430000002</v>
      </c>
      <c r="D526" s="3">
        <v>53</v>
      </c>
      <c r="E526" s="3" t="s">
        <v>127</v>
      </c>
      <c r="F526" s="3" t="s">
        <v>126</v>
      </c>
      <c r="G526" s="3">
        <v>4.0173478060000001</v>
      </c>
    </row>
    <row r="527" spans="1:7" x14ac:dyDescent="0.3">
      <c r="A527" s="3" t="s">
        <v>5</v>
      </c>
      <c r="B527" s="3" t="s">
        <v>22</v>
      </c>
      <c r="C527" s="3">
        <v>19.81818182</v>
      </c>
      <c r="D527" s="3">
        <v>1</v>
      </c>
      <c r="E527" s="3" t="s">
        <v>51</v>
      </c>
      <c r="F527" s="3" t="s">
        <v>126</v>
      </c>
      <c r="G527" s="3">
        <v>3.802613901</v>
      </c>
    </row>
    <row r="528" spans="1:7" x14ac:dyDescent="0.3">
      <c r="A528" s="3" t="s">
        <v>5</v>
      </c>
      <c r="B528" s="3" t="s">
        <v>22</v>
      </c>
      <c r="C528" s="3">
        <v>16.350000000000001</v>
      </c>
      <c r="D528" s="3">
        <v>2</v>
      </c>
      <c r="E528" s="3" t="s">
        <v>51</v>
      </c>
      <c r="F528" s="3" t="s">
        <v>126</v>
      </c>
      <c r="G528" s="3">
        <v>3.722072421</v>
      </c>
    </row>
    <row r="529" spans="1:7" x14ac:dyDescent="0.3">
      <c r="A529" s="3" t="s">
        <v>5</v>
      </c>
      <c r="B529" s="3" t="s">
        <v>22</v>
      </c>
      <c r="C529" s="3">
        <v>12.9</v>
      </c>
      <c r="D529" s="3">
        <v>3</v>
      </c>
      <c r="E529" s="3" t="s">
        <v>51</v>
      </c>
      <c r="F529" s="3" t="s">
        <v>126</v>
      </c>
      <c r="G529" s="3">
        <v>3.634951112</v>
      </c>
    </row>
    <row r="530" spans="1:7" x14ac:dyDescent="0.3">
      <c r="A530" s="3" t="s">
        <v>5</v>
      </c>
      <c r="B530" s="3" t="s">
        <v>22</v>
      </c>
      <c r="C530" s="3">
        <v>9.038461538</v>
      </c>
      <c r="D530" s="3">
        <v>4</v>
      </c>
      <c r="E530" s="3" t="s">
        <v>51</v>
      </c>
      <c r="F530" s="3" t="s">
        <v>126</v>
      </c>
      <c r="G530" s="3">
        <v>3.5274911069999999</v>
      </c>
    </row>
    <row r="531" spans="1:7" x14ac:dyDescent="0.3">
      <c r="A531" s="3" t="s">
        <v>5</v>
      </c>
      <c r="B531" s="3" t="s">
        <v>22</v>
      </c>
      <c r="C531" s="3">
        <v>7.5750000000000002</v>
      </c>
      <c r="D531" s="3">
        <v>5</v>
      </c>
      <c r="E531" s="3" t="s">
        <v>51</v>
      </c>
      <c r="F531" s="3" t="s">
        <v>126</v>
      </c>
      <c r="G531" s="3">
        <v>3.4835451229999999</v>
      </c>
    </row>
    <row r="532" spans="1:7" x14ac:dyDescent="0.3">
      <c r="A532" s="3" t="s">
        <v>5</v>
      </c>
      <c r="B532" s="3" t="s">
        <v>22</v>
      </c>
      <c r="C532" s="3">
        <v>7.0512820510000003</v>
      </c>
      <c r="D532" s="3">
        <v>6</v>
      </c>
      <c r="E532" s="3" t="s">
        <v>51</v>
      </c>
      <c r="F532" s="3" t="s">
        <v>126</v>
      </c>
      <c r="G532" s="3">
        <v>3.4673371839999998</v>
      </c>
    </row>
    <row r="533" spans="1:7" x14ac:dyDescent="0.3">
      <c r="A533" s="3" t="s">
        <v>5</v>
      </c>
      <c r="B533" s="3" t="s">
        <v>22</v>
      </c>
      <c r="C533" s="3">
        <v>-2.9125000000000001</v>
      </c>
      <c r="D533" s="3">
        <v>7</v>
      </c>
      <c r="E533" s="3" t="s">
        <v>51</v>
      </c>
      <c r="F533" s="3" t="s">
        <v>126</v>
      </c>
      <c r="G533" s="3">
        <v>3.095011838</v>
      </c>
    </row>
    <row r="534" spans="1:7" x14ac:dyDescent="0.3">
      <c r="A534" s="3" t="s">
        <v>5</v>
      </c>
      <c r="B534" s="3" t="s">
        <v>22</v>
      </c>
      <c r="C534" s="3">
        <v>-4.6794871789999997</v>
      </c>
      <c r="D534" s="3">
        <v>8</v>
      </c>
      <c r="E534" s="3" t="s">
        <v>51</v>
      </c>
      <c r="F534" s="3" t="s">
        <v>126</v>
      </c>
      <c r="G534" s="3">
        <v>3.0116308599999999</v>
      </c>
    </row>
    <row r="535" spans="1:7" x14ac:dyDescent="0.3">
      <c r="A535" s="3" t="s">
        <v>5</v>
      </c>
      <c r="B535" s="3" t="s">
        <v>22</v>
      </c>
      <c r="C535" s="3">
        <v>12.637499999999999</v>
      </c>
      <c r="D535" s="3">
        <v>9</v>
      </c>
      <c r="E535" s="3" t="s">
        <v>51</v>
      </c>
      <c r="F535" s="3" t="s">
        <v>126</v>
      </c>
      <c r="G535" s="3">
        <v>3.6280008939999999</v>
      </c>
    </row>
    <row r="536" spans="1:7" x14ac:dyDescent="0.3">
      <c r="A536" s="3" t="s">
        <v>5</v>
      </c>
      <c r="B536" s="3" t="s">
        <v>22</v>
      </c>
      <c r="C536" s="3">
        <v>19.089743590000001</v>
      </c>
      <c r="D536" s="3">
        <v>10</v>
      </c>
      <c r="E536" s="3" t="s">
        <v>51</v>
      </c>
      <c r="F536" s="3" t="s">
        <v>126</v>
      </c>
      <c r="G536" s="3">
        <v>3.7862271839999999</v>
      </c>
    </row>
    <row r="537" spans="1:7" x14ac:dyDescent="0.3">
      <c r="A537" s="3" t="s">
        <v>5</v>
      </c>
      <c r="B537" s="3" t="s">
        <v>22</v>
      </c>
      <c r="C537" s="3">
        <v>29.3125</v>
      </c>
      <c r="D537" s="3">
        <v>11</v>
      </c>
      <c r="E537" s="3" t="s">
        <v>51</v>
      </c>
      <c r="F537" s="3" t="s">
        <v>126</v>
      </c>
      <c r="G537" s="3">
        <v>3.994754403</v>
      </c>
    </row>
    <row r="538" spans="1:7" x14ac:dyDescent="0.3">
      <c r="A538" s="3" t="s">
        <v>5</v>
      </c>
      <c r="B538" s="3" t="s">
        <v>22</v>
      </c>
      <c r="C538" s="3">
        <v>30.92307692</v>
      </c>
      <c r="D538" s="3">
        <v>12</v>
      </c>
      <c r="E538" s="3" t="s">
        <v>51</v>
      </c>
      <c r="F538" s="3" t="s">
        <v>126</v>
      </c>
      <c r="G538" s="3">
        <v>4.0239771199999996</v>
      </c>
    </row>
    <row r="539" spans="1:7" x14ac:dyDescent="0.3">
      <c r="A539" s="3" t="s">
        <v>5</v>
      </c>
      <c r="B539" s="3" t="s">
        <v>22</v>
      </c>
      <c r="C539" s="3">
        <v>34.575000000000003</v>
      </c>
      <c r="D539" s="3">
        <v>13</v>
      </c>
      <c r="E539" s="3" t="s">
        <v>51</v>
      </c>
      <c r="F539" s="3" t="s">
        <v>126</v>
      </c>
      <c r="G539" s="3">
        <v>4.087236023</v>
      </c>
    </row>
    <row r="540" spans="1:7" x14ac:dyDescent="0.3">
      <c r="A540" s="3" t="s">
        <v>5</v>
      </c>
      <c r="B540" s="3" t="s">
        <v>22</v>
      </c>
      <c r="C540" s="3">
        <v>29.5</v>
      </c>
      <c r="D540" s="3">
        <v>14</v>
      </c>
      <c r="E540" s="3" t="s">
        <v>51</v>
      </c>
      <c r="F540" s="3" t="s">
        <v>126</v>
      </c>
      <c r="G540" s="3">
        <v>3.9982007020000001</v>
      </c>
    </row>
    <row r="541" spans="1:7" x14ac:dyDescent="0.3">
      <c r="A541" s="3" t="s">
        <v>5</v>
      </c>
      <c r="B541" s="3" t="s">
        <v>22</v>
      </c>
      <c r="C541" s="3">
        <v>27.074999999999999</v>
      </c>
      <c r="D541" s="3">
        <v>47</v>
      </c>
      <c r="E541" s="3" t="s">
        <v>51</v>
      </c>
      <c r="F541" s="3" t="s">
        <v>126</v>
      </c>
      <c r="G541" s="3">
        <v>3.952684987</v>
      </c>
    </row>
    <row r="542" spans="1:7" x14ac:dyDescent="0.3">
      <c r="A542" s="3" t="s">
        <v>5</v>
      </c>
      <c r="B542" s="3" t="s">
        <v>22</v>
      </c>
      <c r="C542" s="3">
        <v>34.912500000000001</v>
      </c>
      <c r="D542" s="3">
        <v>48</v>
      </c>
      <c r="E542" s="3" t="s">
        <v>51</v>
      </c>
      <c r="F542" s="3" t="s">
        <v>126</v>
      </c>
      <c r="G542" s="3">
        <v>4.0928851640000001</v>
      </c>
    </row>
    <row r="543" spans="1:7" x14ac:dyDescent="0.3">
      <c r="A543" s="3" t="s">
        <v>5</v>
      </c>
      <c r="B543" s="3" t="s">
        <v>22</v>
      </c>
      <c r="C543" s="3">
        <v>33.294871790000002</v>
      </c>
      <c r="D543" s="3">
        <v>49</v>
      </c>
      <c r="E543" s="3" t="s">
        <v>51</v>
      </c>
      <c r="F543" s="3" t="s">
        <v>126</v>
      </c>
      <c r="G543" s="3">
        <v>4.0655141270000001</v>
      </c>
    </row>
    <row r="544" spans="1:7" x14ac:dyDescent="0.3">
      <c r="A544" s="3" t="s">
        <v>5</v>
      </c>
      <c r="B544" s="3" t="s">
        <v>22</v>
      </c>
      <c r="C544" s="3">
        <v>31.875</v>
      </c>
      <c r="D544" s="3">
        <v>50</v>
      </c>
      <c r="E544" s="3" t="s">
        <v>51</v>
      </c>
      <c r="F544" s="3" t="s">
        <v>126</v>
      </c>
      <c r="G544" s="3">
        <v>4.0408558770000003</v>
      </c>
    </row>
    <row r="545" spans="1:7" x14ac:dyDescent="0.3">
      <c r="A545" s="3" t="s">
        <v>5</v>
      </c>
      <c r="B545" s="3" t="s">
        <v>22</v>
      </c>
      <c r="C545" s="3">
        <v>31.320512820000001</v>
      </c>
      <c r="D545" s="3">
        <v>51</v>
      </c>
      <c r="E545" s="3" t="s">
        <v>51</v>
      </c>
      <c r="F545" s="3" t="s">
        <v>126</v>
      </c>
      <c r="G545" s="3">
        <v>4.0310588169999999</v>
      </c>
    </row>
    <row r="546" spans="1:7" x14ac:dyDescent="0.3">
      <c r="A546" s="3" t="s">
        <v>5</v>
      </c>
      <c r="B546" s="3" t="s">
        <v>22</v>
      </c>
      <c r="C546" s="3">
        <v>27.5</v>
      </c>
      <c r="D546" s="3">
        <v>52</v>
      </c>
      <c r="E546" s="3" t="s">
        <v>51</v>
      </c>
      <c r="F546" s="3" t="s">
        <v>126</v>
      </c>
      <c r="G546" s="3">
        <v>3.9608131700000002</v>
      </c>
    </row>
    <row r="547" spans="1:7" x14ac:dyDescent="0.3">
      <c r="A547" s="3" t="s">
        <v>5</v>
      </c>
      <c r="B547" s="3" t="s">
        <v>22</v>
      </c>
      <c r="C547" s="3">
        <v>23.48214286</v>
      </c>
      <c r="D547" s="3">
        <v>53</v>
      </c>
      <c r="E547" s="3" t="s">
        <v>51</v>
      </c>
      <c r="F547" s="3" t="s">
        <v>126</v>
      </c>
      <c r="G547" s="3">
        <v>3.8811955419999999</v>
      </c>
    </row>
    <row r="548" spans="1:7" x14ac:dyDescent="0.3">
      <c r="A548" s="3" t="s">
        <v>4</v>
      </c>
      <c r="B548" s="3" t="s">
        <v>36</v>
      </c>
      <c r="C548" s="3">
        <v>6.8181818180000002</v>
      </c>
      <c r="D548" s="3">
        <v>1</v>
      </c>
      <c r="E548" s="3" t="s">
        <v>53</v>
      </c>
      <c r="F548" s="3" t="s">
        <v>126</v>
      </c>
      <c r="G548" s="3">
        <v>3.460037882</v>
      </c>
    </row>
    <row r="549" spans="1:7" x14ac:dyDescent="0.3">
      <c r="A549" s="3" t="s">
        <v>4</v>
      </c>
      <c r="B549" s="3" t="s">
        <v>36</v>
      </c>
      <c r="C549" s="3">
        <v>7.7249999999999996</v>
      </c>
      <c r="D549" s="3">
        <v>2</v>
      </c>
      <c r="E549" s="3" t="s">
        <v>53</v>
      </c>
      <c r="F549" s="3" t="s">
        <v>126</v>
      </c>
      <c r="G549" s="3">
        <v>3.4881393119999999</v>
      </c>
    </row>
    <row r="550" spans="1:7" x14ac:dyDescent="0.3">
      <c r="A550" s="3" t="s">
        <v>4</v>
      </c>
      <c r="B550" s="3" t="s">
        <v>36</v>
      </c>
      <c r="C550" s="3">
        <v>5.95</v>
      </c>
      <c r="D550" s="3">
        <v>3</v>
      </c>
      <c r="E550" s="3" t="s">
        <v>53</v>
      </c>
      <c r="F550" s="3" t="s">
        <v>126</v>
      </c>
      <c r="G550" s="3">
        <v>3.432372999</v>
      </c>
    </row>
    <row r="551" spans="1:7" x14ac:dyDescent="0.3">
      <c r="A551" s="3" t="s">
        <v>4</v>
      </c>
      <c r="B551" s="3" t="s">
        <v>36</v>
      </c>
      <c r="C551" s="3">
        <v>7.1025641029999997</v>
      </c>
      <c r="D551" s="3">
        <v>4</v>
      </c>
      <c r="E551" s="3" t="s">
        <v>53</v>
      </c>
      <c r="F551" s="3" t="s">
        <v>126</v>
      </c>
      <c r="G551" s="3">
        <v>3.468935906</v>
      </c>
    </row>
    <row r="552" spans="1:7" x14ac:dyDescent="0.3">
      <c r="A552" s="3" t="s">
        <v>4</v>
      </c>
      <c r="B552" s="3" t="s">
        <v>36</v>
      </c>
      <c r="C552" s="3">
        <v>4.9375</v>
      </c>
      <c r="D552" s="3">
        <v>5</v>
      </c>
      <c r="E552" s="3" t="s">
        <v>53</v>
      </c>
      <c r="F552" s="3" t="s">
        <v>126</v>
      </c>
      <c r="G552" s="3">
        <v>3.399111875</v>
      </c>
    </row>
    <row r="553" spans="1:7" x14ac:dyDescent="0.3">
      <c r="A553" s="3" t="s">
        <v>4</v>
      </c>
      <c r="B553" s="3" t="s">
        <v>36</v>
      </c>
      <c r="C553" s="3">
        <v>9.4358974359999994</v>
      </c>
      <c r="D553" s="3">
        <v>6</v>
      </c>
      <c r="E553" s="3" t="s">
        <v>53</v>
      </c>
      <c r="F553" s="3" t="s">
        <v>126</v>
      </c>
      <c r="G553" s="3">
        <v>3.53909955</v>
      </c>
    </row>
    <row r="554" spans="1:7" x14ac:dyDescent="0.3">
      <c r="A554" s="3" t="s">
        <v>4</v>
      </c>
      <c r="B554" s="3" t="s">
        <v>36</v>
      </c>
      <c r="C554" s="3">
        <v>15</v>
      </c>
      <c r="D554" s="3">
        <v>7</v>
      </c>
      <c r="E554" s="3" t="s">
        <v>53</v>
      </c>
      <c r="F554" s="3" t="s">
        <v>126</v>
      </c>
      <c r="G554" s="3">
        <v>3.6888794539999998</v>
      </c>
    </row>
    <row r="555" spans="1:7" x14ac:dyDescent="0.3">
      <c r="A555" s="3" t="s">
        <v>4</v>
      </c>
      <c r="B555" s="3" t="s">
        <v>36</v>
      </c>
      <c r="C555" s="3">
        <v>22.051282050000001</v>
      </c>
      <c r="D555" s="3">
        <v>8</v>
      </c>
      <c r="E555" s="3" t="s">
        <v>53</v>
      </c>
      <c r="F555" s="3" t="s">
        <v>126</v>
      </c>
      <c r="G555" s="3">
        <v>3.851238114</v>
      </c>
    </row>
    <row r="556" spans="1:7" x14ac:dyDescent="0.3">
      <c r="A556" s="3" t="s">
        <v>4</v>
      </c>
      <c r="B556" s="3" t="s">
        <v>36</v>
      </c>
      <c r="C556" s="3">
        <v>22.912500000000001</v>
      </c>
      <c r="D556" s="3">
        <v>9</v>
      </c>
      <c r="E556" s="3" t="s">
        <v>53</v>
      </c>
      <c r="F556" s="3" t="s">
        <v>126</v>
      </c>
      <c r="G556" s="3">
        <v>3.8693764310000001</v>
      </c>
    </row>
    <row r="557" spans="1:7" x14ac:dyDescent="0.3">
      <c r="A557" s="3" t="s">
        <v>4</v>
      </c>
      <c r="B557" s="3" t="s">
        <v>36</v>
      </c>
      <c r="C557" s="3">
        <v>22.53846154</v>
      </c>
      <c r="D557" s="3">
        <v>10</v>
      </c>
      <c r="E557" s="3" t="s">
        <v>53</v>
      </c>
      <c r="F557" s="3" t="s">
        <v>126</v>
      </c>
      <c r="G557" s="3">
        <v>3.8615390999999999</v>
      </c>
    </row>
    <row r="558" spans="1:7" x14ac:dyDescent="0.3">
      <c r="A558" s="3" t="s">
        <v>4</v>
      </c>
      <c r="B558" s="3" t="s">
        <v>36</v>
      </c>
      <c r="C558" s="3">
        <v>25.925000000000001</v>
      </c>
      <c r="D558" s="3">
        <v>11</v>
      </c>
      <c r="E558" s="3" t="s">
        <v>53</v>
      </c>
      <c r="F558" s="3" t="s">
        <v>126</v>
      </c>
      <c r="G558" s="3">
        <v>3.9303539619999999</v>
      </c>
    </row>
    <row r="559" spans="1:7" x14ac:dyDescent="0.3">
      <c r="A559" s="3" t="s">
        <v>4</v>
      </c>
      <c r="B559" s="3" t="s">
        <v>36</v>
      </c>
      <c r="C559" s="3">
        <v>21.166666670000001</v>
      </c>
      <c r="D559" s="3">
        <v>12</v>
      </c>
      <c r="E559" s="3" t="s">
        <v>53</v>
      </c>
      <c r="F559" s="3" t="s">
        <v>126</v>
      </c>
      <c r="G559" s="3">
        <v>3.8322580369999999</v>
      </c>
    </row>
    <row r="560" spans="1:7" x14ac:dyDescent="0.3">
      <c r="A560" s="3" t="s">
        <v>4</v>
      </c>
      <c r="B560" s="3" t="s">
        <v>36</v>
      </c>
      <c r="C560" s="3">
        <v>26.725000000000001</v>
      </c>
      <c r="D560" s="3">
        <v>13</v>
      </c>
      <c r="E560" s="3" t="s">
        <v>53</v>
      </c>
      <c r="F560" s="3" t="s">
        <v>126</v>
      </c>
      <c r="G560" s="3">
        <v>3.9459412239999998</v>
      </c>
    </row>
    <row r="561" spans="1:7" x14ac:dyDescent="0.3">
      <c r="A561" s="3" t="s">
        <v>4</v>
      </c>
      <c r="B561" s="3" t="s">
        <v>36</v>
      </c>
      <c r="C561" s="3">
        <v>26.70588235</v>
      </c>
      <c r="D561" s="3">
        <v>14</v>
      </c>
      <c r="E561" s="3" t="s">
        <v>53</v>
      </c>
      <c r="F561" s="3" t="s">
        <v>126</v>
      </c>
      <c r="G561" s="3">
        <v>3.9455715539999998</v>
      </c>
    </row>
    <row r="562" spans="1:7" x14ac:dyDescent="0.3">
      <c r="A562" s="3" t="s">
        <v>4</v>
      </c>
      <c r="B562" s="3" t="s">
        <v>36</v>
      </c>
      <c r="C562" s="3">
        <v>21.425000000000001</v>
      </c>
      <c r="D562" s="3">
        <v>47</v>
      </c>
      <c r="E562" s="3" t="s">
        <v>53</v>
      </c>
      <c r="F562" s="3" t="s">
        <v>126</v>
      </c>
      <c r="G562" s="3">
        <v>3.8378381070000001</v>
      </c>
    </row>
    <row r="563" spans="1:7" x14ac:dyDescent="0.3">
      <c r="A563" s="3" t="s">
        <v>4</v>
      </c>
      <c r="B563" s="3" t="s">
        <v>36</v>
      </c>
      <c r="C563" s="3">
        <v>16.649999999999999</v>
      </c>
      <c r="D563" s="3">
        <v>48</v>
      </c>
      <c r="E563" s="3" t="s">
        <v>53</v>
      </c>
      <c r="F563" s="3" t="s">
        <v>126</v>
      </c>
      <c r="G563" s="3">
        <v>3.7293013689999999</v>
      </c>
    </row>
    <row r="564" spans="1:7" x14ac:dyDescent="0.3">
      <c r="A564" s="3" t="s">
        <v>4</v>
      </c>
      <c r="B564" s="3" t="s">
        <v>36</v>
      </c>
      <c r="C564" s="3">
        <v>6.615384615</v>
      </c>
      <c r="D564" s="3">
        <v>49</v>
      </c>
      <c r="E564" s="3" t="s">
        <v>53</v>
      </c>
      <c r="F564" s="3" t="s">
        <v>126</v>
      </c>
      <c r="G564" s="3">
        <v>3.4536438569999999</v>
      </c>
    </row>
    <row r="565" spans="1:7" x14ac:dyDescent="0.3">
      <c r="A565" s="3" t="s">
        <v>4</v>
      </c>
      <c r="B565" s="3" t="s">
        <v>36</v>
      </c>
      <c r="C565" s="3">
        <v>12.775</v>
      </c>
      <c r="D565" s="3">
        <v>50</v>
      </c>
      <c r="E565" s="3" t="s">
        <v>53</v>
      </c>
      <c r="F565" s="3" t="s">
        <v>126</v>
      </c>
      <c r="G565" s="3">
        <v>3.6316475079999999</v>
      </c>
    </row>
    <row r="566" spans="1:7" x14ac:dyDescent="0.3">
      <c r="A566" s="3" t="s">
        <v>4</v>
      </c>
      <c r="B566" s="3" t="s">
        <v>36</v>
      </c>
      <c r="C566" s="3">
        <v>12.03846154</v>
      </c>
      <c r="D566" s="3">
        <v>51</v>
      </c>
      <c r="E566" s="3" t="s">
        <v>53</v>
      </c>
      <c r="F566" s="3" t="s">
        <v>126</v>
      </c>
      <c r="G566" s="3">
        <v>3.6119568740000001</v>
      </c>
    </row>
    <row r="567" spans="1:7" x14ac:dyDescent="0.3">
      <c r="A567" s="3" t="s">
        <v>4</v>
      </c>
      <c r="B567" s="3" t="s">
        <v>36</v>
      </c>
      <c r="C567" s="3">
        <v>4.7625000000000002</v>
      </c>
      <c r="D567" s="3">
        <v>52</v>
      </c>
      <c r="E567" s="3" t="s">
        <v>53</v>
      </c>
      <c r="F567" s="3" t="s">
        <v>126</v>
      </c>
      <c r="G567" s="3">
        <v>3.3932492120000002</v>
      </c>
    </row>
    <row r="568" spans="1:7" x14ac:dyDescent="0.3">
      <c r="A568" s="3" t="s">
        <v>4</v>
      </c>
      <c r="B568" s="3" t="s">
        <v>36</v>
      </c>
      <c r="C568" s="3">
        <v>6.7678571429999996</v>
      </c>
      <c r="D568" s="3">
        <v>53</v>
      </c>
      <c r="E568" s="3" t="s">
        <v>53</v>
      </c>
      <c r="F568" s="3" t="s">
        <v>126</v>
      </c>
      <c r="G568" s="3">
        <v>3.458454997</v>
      </c>
    </row>
    <row r="569" spans="1:7" x14ac:dyDescent="0.3">
      <c r="A569" s="3" t="s">
        <v>5</v>
      </c>
      <c r="B569" s="3" t="s">
        <v>34</v>
      </c>
      <c r="C569" s="3">
        <v>16.863636360000001</v>
      </c>
      <c r="D569" s="3">
        <v>1</v>
      </c>
      <c r="E569" s="3" t="s">
        <v>53</v>
      </c>
      <c r="F569" s="3" t="s">
        <v>126</v>
      </c>
      <c r="G569" s="3">
        <v>3.7344175829999999</v>
      </c>
    </row>
    <row r="570" spans="1:7" x14ac:dyDescent="0.3">
      <c r="A570" s="3" t="s">
        <v>5</v>
      </c>
      <c r="B570" s="3" t="s">
        <v>34</v>
      </c>
      <c r="C570" s="3">
        <v>20.5625</v>
      </c>
      <c r="D570" s="3">
        <v>2</v>
      </c>
      <c r="E570" s="3" t="s">
        <v>53</v>
      </c>
      <c r="F570" s="3" t="s">
        <v>126</v>
      </c>
      <c r="G570" s="3">
        <v>3.8190850099999998</v>
      </c>
    </row>
    <row r="571" spans="1:7" x14ac:dyDescent="0.3">
      <c r="A571" s="3" t="s">
        <v>5</v>
      </c>
      <c r="B571" s="3" t="s">
        <v>34</v>
      </c>
      <c r="C571" s="3">
        <v>24.712499999999999</v>
      </c>
      <c r="D571" s="3">
        <v>3</v>
      </c>
      <c r="E571" s="3" t="s">
        <v>53</v>
      </c>
      <c r="F571" s="3" t="s">
        <v>126</v>
      </c>
      <c r="G571" s="3">
        <v>3.9062564110000002</v>
      </c>
    </row>
    <row r="572" spans="1:7" x14ac:dyDescent="0.3">
      <c r="A572" s="3" t="s">
        <v>5</v>
      </c>
      <c r="B572" s="3" t="s">
        <v>34</v>
      </c>
      <c r="C572" s="3">
        <v>29.46153846</v>
      </c>
      <c r="D572" s="3">
        <v>4</v>
      </c>
      <c r="E572" s="3" t="s">
        <v>53</v>
      </c>
      <c r="F572" s="3" t="s">
        <v>126</v>
      </c>
      <c r="G572" s="3">
        <v>3.9974947360000002</v>
      </c>
    </row>
    <row r="573" spans="1:7" x14ac:dyDescent="0.3">
      <c r="A573" s="3" t="s">
        <v>5</v>
      </c>
      <c r="B573" s="3" t="s">
        <v>34</v>
      </c>
      <c r="C573" s="3">
        <v>30.524999999999999</v>
      </c>
      <c r="D573" s="3">
        <v>5</v>
      </c>
      <c r="E573" s="3" t="s">
        <v>53</v>
      </c>
      <c r="F573" s="3" t="s">
        <v>126</v>
      </c>
      <c r="G573" s="3">
        <v>4.0168333699999996</v>
      </c>
    </row>
    <row r="574" spans="1:7" x14ac:dyDescent="0.3">
      <c r="A574" s="3" t="s">
        <v>5</v>
      </c>
      <c r="B574" s="3" t="s">
        <v>34</v>
      </c>
      <c r="C574" s="3">
        <v>31.871794869999999</v>
      </c>
      <c r="D574" s="3">
        <v>6</v>
      </c>
      <c r="E574" s="3" t="s">
        <v>53</v>
      </c>
      <c r="F574" s="3" t="s">
        <v>126</v>
      </c>
      <c r="G574" s="3">
        <v>4.0407995220000004</v>
      </c>
    </row>
    <row r="575" spans="1:7" x14ac:dyDescent="0.3">
      <c r="A575" s="3" t="s">
        <v>5</v>
      </c>
      <c r="B575" s="3" t="s">
        <v>34</v>
      </c>
      <c r="C575" s="3">
        <v>27.524999999999999</v>
      </c>
      <c r="D575" s="3">
        <v>7</v>
      </c>
      <c r="E575" s="3" t="s">
        <v>53</v>
      </c>
      <c r="F575" s="3" t="s">
        <v>126</v>
      </c>
      <c r="G575" s="3">
        <v>3.9612892469999998</v>
      </c>
    </row>
    <row r="576" spans="1:7" x14ac:dyDescent="0.3">
      <c r="A576" s="3" t="s">
        <v>5</v>
      </c>
      <c r="B576" s="3" t="s">
        <v>34</v>
      </c>
      <c r="C576" s="3">
        <v>17.910256409999999</v>
      </c>
      <c r="D576" s="3">
        <v>8</v>
      </c>
      <c r="E576" s="3" t="s">
        <v>53</v>
      </c>
      <c r="F576" s="3" t="s">
        <v>126</v>
      </c>
      <c r="G576" s="3">
        <v>3.7591108750000002</v>
      </c>
    </row>
    <row r="577" spans="1:7" x14ac:dyDescent="0.3">
      <c r="A577" s="3" t="s">
        <v>5</v>
      </c>
      <c r="B577" s="3" t="s">
        <v>34</v>
      </c>
      <c r="C577" s="3">
        <v>21.324999999999999</v>
      </c>
      <c r="D577" s="3">
        <v>9</v>
      </c>
      <c r="E577" s="3" t="s">
        <v>53</v>
      </c>
      <c r="F577" s="3" t="s">
        <v>126</v>
      </c>
      <c r="G577" s="3">
        <v>3.835681772</v>
      </c>
    </row>
    <row r="578" spans="1:7" x14ac:dyDescent="0.3">
      <c r="A578" s="3" t="s">
        <v>5</v>
      </c>
      <c r="B578" s="3" t="s">
        <v>34</v>
      </c>
      <c r="C578" s="3">
        <v>23.512820510000001</v>
      </c>
      <c r="D578" s="3">
        <v>10</v>
      </c>
      <c r="E578" s="3" t="s">
        <v>53</v>
      </c>
      <c r="F578" s="3" t="s">
        <v>126</v>
      </c>
      <c r="G578" s="3">
        <v>3.8818281030000001</v>
      </c>
    </row>
    <row r="579" spans="1:7" x14ac:dyDescent="0.3">
      <c r="A579" s="3" t="s">
        <v>5</v>
      </c>
      <c r="B579" s="3" t="s">
        <v>34</v>
      </c>
      <c r="C579" s="3">
        <v>30.6</v>
      </c>
      <c r="D579" s="3">
        <v>11</v>
      </c>
      <c r="E579" s="3" t="s">
        <v>53</v>
      </c>
      <c r="F579" s="3" t="s">
        <v>126</v>
      </c>
      <c r="G579" s="3">
        <v>4.0181832010000003</v>
      </c>
    </row>
    <row r="580" spans="1:7" x14ac:dyDescent="0.3">
      <c r="A580" s="3" t="s">
        <v>5</v>
      </c>
      <c r="B580" s="3" t="s">
        <v>34</v>
      </c>
      <c r="C580" s="3">
        <v>31.46153846</v>
      </c>
      <c r="D580" s="3">
        <v>12</v>
      </c>
      <c r="E580" s="3" t="s">
        <v>53</v>
      </c>
      <c r="F580" s="3" t="s">
        <v>126</v>
      </c>
      <c r="G580" s="3">
        <v>4.0335596709999999</v>
      </c>
    </row>
    <row r="581" spans="1:7" x14ac:dyDescent="0.3">
      <c r="A581" s="3" t="s">
        <v>5</v>
      </c>
      <c r="B581" s="3" t="s">
        <v>34</v>
      </c>
      <c r="C581" s="3">
        <v>34.137500000000003</v>
      </c>
      <c r="D581" s="3">
        <v>13</v>
      </c>
      <c r="E581" s="3" t="s">
        <v>53</v>
      </c>
      <c r="F581" s="3" t="s">
        <v>126</v>
      </c>
      <c r="G581" s="3">
        <v>4.0798652410000003</v>
      </c>
    </row>
    <row r="582" spans="1:7" x14ac:dyDescent="0.3">
      <c r="A582" s="3" t="s">
        <v>5</v>
      </c>
      <c r="B582" s="3" t="s">
        <v>34</v>
      </c>
      <c r="C582" s="3">
        <v>33.294117649999997</v>
      </c>
      <c r="D582" s="3">
        <v>14</v>
      </c>
      <c r="E582" s="3" t="s">
        <v>53</v>
      </c>
      <c r="F582" s="3" t="s">
        <v>126</v>
      </c>
      <c r="G582" s="3">
        <v>4.06550119</v>
      </c>
    </row>
    <row r="583" spans="1:7" x14ac:dyDescent="0.3">
      <c r="A583" s="3" t="s">
        <v>5</v>
      </c>
      <c r="B583" s="3" t="s">
        <v>34</v>
      </c>
      <c r="C583" s="3">
        <v>22.524999999999999</v>
      </c>
      <c r="D583" s="3">
        <v>47</v>
      </c>
      <c r="E583" s="3" t="s">
        <v>53</v>
      </c>
      <c r="F583" s="3" t="s">
        <v>126</v>
      </c>
      <c r="G583" s="3">
        <v>3.8612558880000001</v>
      </c>
    </row>
    <row r="584" spans="1:7" x14ac:dyDescent="0.3">
      <c r="A584" s="3" t="s">
        <v>5</v>
      </c>
      <c r="B584" s="3" t="s">
        <v>34</v>
      </c>
      <c r="C584" s="3">
        <v>22.1875</v>
      </c>
      <c r="D584" s="3">
        <v>48</v>
      </c>
      <c r="E584" s="3" t="s">
        <v>53</v>
      </c>
      <c r="F584" s="3" t="s">
        <v>126</v>
      </c>
      <c r="G584" s="3">
        <v>3.8541290269999999</v>
      </c>
    </row>
    <row r="585" spans="1:7" x14ac:dyDescent="0.3">
      <c r="A585" s="3" t="s">
        <v>5</v>
      </c>
      <c r="B585" s="3" t="s">
        <v>34</v>
      </c>
      <c r="C585" s="3">
        <v>19.641025639999999</v>
      </c>
      <c r="D585" s="3">
        <v>49</v>
      </c>
      <c r="E585" s="3" t="s">
        <v>53</v>
      </c>
      <c r="F585" s="3" t="s">
        <v>126</v>
      </c>
      <c r="G585" s="3">
        <v>3.7986532940000002</v>
      </c>
    </row>
    <row r="586" spans="1:7" x14ac:dyDescent="0.3">
      <c r="A586" s="3" t="s">
        <v>5</v>
      </c>
      <c r="B586" s="3" t="s">
        <v>34</v>
      </c>
      <c r="C586" s="3">
        <v>21.5</v>
      </c>
      <c r="D586" s="3">
        <v>50</v>
      </c>
      <c r="E586" s="3" t="s">
        <v>53</v>
      </c>
      <c r="F586" s="3" t="s">
        <v>126</v>
      </c>
      <c r="G586" s="3">
        <v>3.8394523129999998</v>
      </c>
    </row>
    <row r="587" spans="1:7" x14ac:dyDescent="0.3">
      <c r="A587" s="3" t="s">
        <v>5</v>
      </c>
      <c r="B587" s="3" t="s">
        <v>34</v>
      </c>
      <c r="C587" s="3">
        <v>17.974358970000001</v>
      </c>
      <c r="D587" s="3">
        <v>51</v>
      </c>
      <c r="E587" s="3" t="s">
        <v>53</v>
      </c>
      <c r="F587" s="3" t="s">
        <v>126</v>
      </c>
      <c r="G587" s="3">
        <v>3.7606036349999998</v>
      </c>
    </row>
    <row r="588" spans="1:7" x14ac:dyDescent="0.3">
      <c r="A588" s="3" t="s">
        <v>5</v>
      </c>
      <c r="B588" s="3" t="s">
        <v>34</v>
      </c>
      <c r="C588" s="3">
        <v>18.074999999999999</v>
      </c>
      <c r="D588" s="3">
        <v>52</v>
      </c>
      <c r="E588" s="3" t="s">
        <v>53</v>
      </c>
      <c r="F588" s="3" t="s">
        <v>126</v>
      </c>
      <c r="G588" s="3">
        <v>3.7629427820000001</v>
      </c>
    </row>
    <row r="589" spans="1:7" x14ac:dyDescent="0.3">
      <c r="A589" s="3" t="s">
        <v>5</v>
      </c>
      <c r="B589" s="3" t="s">
        <v>34</v>
      </c>
      <c r="C589" s="3">
        <v>15.92857143</v>
      </c>
      <c r="D589" s="3">
        <v>53</v>
      </c>
      <c r="E589" s="3" t="s">
        <v>53</v>
      </c>
      <c r="F589" s="3" t="s">
        <v>126</v>
      </c>
      <c r="G589" s="3">
        <v>3.7118283870000002</v>
      </c>
    </row>
    <row r="590" spans="1:7" x14ac:dyDescent="0.3">
      <c r="A590" s="3" t="s">
        <v>4</v>
      </c>
      <c r="B590" s="3" t="s">
        <v>33</v>
      </c>
      <c r="C590" s="3">
        <v>5.3181818180000002</v>
      </c>
      <c r="D590" s="3">
        <v>1</v>
      </c>
      <c r="E590" s="3" t="s">
        <v>53</v>
      </c>
      <c r="F590" s="3" t="s">
        <v>126</v>
      </c>
      <c r="G590" s="3">
        <v>3.4117475929999999</v>
      </c>
    </row>
    <row r="591" spans="1:7" x14ac:dyDescent="0.3">
      <c r="A591" s="3" t="s">
        <v>4</v>
      </c>
      <c r="B591" s="3" t="s">
        <v>33</v>
      </c>
      <c r="C591" s="3">
        <v>5.0250000000000004</v>
      </c>
      <c r="D591" s="3">
        <v>2</v>
      </c>
      <c r="E591" s="3" t="s">
        <v>53</v>
      </c>
      <c r="F591" s="3" t="s">
        <v>126</v>
      </c>
      <c r="G591" s="3">
        <v>3.4020303680000001</v>
      </c>
    </row>
    <row r="592" spans="1:7" x14ac:dyDescent="0.3">
      <c r="A592" s="3" t="s">
        <v>4</v>
      </c>
      <c r="B592" s="3" t="s">
        <v>33</v>
      </c>
      <c r="C592" s="3">
        <v>5.1410256409999997</v>
      </c>
      <c r="D592" s="3">
        <v>3</v>
      </c>
      <c r="E592" s="3" t="s">
        <v>53</v>
      </c>
      <c r="F592" s="3" t="s">
        <v>126</v>
      </c>
      <c r="G592" s="3">
        <v>3.405887222</v>
      </c>
    </row>
    <row r="593" spans="1:7" x14ac:dyDescent="0.3">
      <c r="A593" s="3" t="s">
        <v>4</v>
      </c>
      <c r="B593" s="3" t="s">
        <v>33</v>
      </c>
      <c r="C593" s="3">
        <v>4.9874999999999998</v>
      </c>
      <c r="D593" s="3">
        <v>4</v>
      </c>
      <c r="E593" s="3" t="s">
        <v>53</v>
      </c>
      <c r="F593" s="3" t="s">
        <v>126</v>
      </c>
      <c r="G593" s="3">
        <v>3.4007806280000001</v>
      </c>
    </row>
    <row r="594" spans="1:7" x14ac:dyDescent="0.3">
      <c r="A594" s="3" t="s">
        <v>4</v>
      </c>
      <c r="B594" s="3" t="s">
        <v>33</v>
      </c>
      <c r="C594" s="3">
        <v>2.5128205129999999</v>
      </c>
      <c r="D594" s="3">
        <v>5</v>
      </c>
      <c r="E594" s="3" t="s">
        <v>53</v>
      </c>
      <c r="F594" s="3" t="s">
        <v>126</v>
      </c>
      <c r="G594" s="3">
        <v>3.3146520970000002</v>
      </c>
    </row>
    <row r="595" spans="1:7" x14ac:dyDescent="0.3">
      <c r="A595" s="3" t="s">
        <v>4</v>
      </c>
      <c r="B595" s="3" t="s">
        <v>33</v>
      </c>
      <c r="C595" s="3">
        <v>-1.65</v>
      </c>
      <c r="D595" s="3">
        <v>6</v>
      </c>
      <c r="E595" s="3" t="s">
        <v>53</v>
      </c>
      <c r="F595" s="3" t="s">
        <v>126</v>
      </c>
      <c r="G595" s="3">
        <v>3.1505969839999999</v>
      </c>
    </row>
    <row r="596" spans="1:7" x14ac:dyDescent="0.3">
      <c r="A596" s="3" t="s">
        <v>4</v>
      </c>
      <c r="B596" s="3" t="s">
        <v>33</v>
      </c>
      <c r="C596" s="3">
        <v>-9.4358974359999994</v>
      </c>
      <c r="D596" s="3">
        <v>7</v>
      </c>
      <c r="E596" s="3" t="s">
        <v>53</v>
      </c>
      <c r="F596" s="3" t="s">
        <v>126</v>
      </c>
      <c r="G596" s="3">
        <v>2.7449671449999999</v>
      </c>
    </row>
    <row r="597" spans="1:7" x14ac:dyDescent="0.3">
      <c r="A597" s="3" t="s">
        <v>4</v>
      </c>
      <c r="B597" s="3" t="s">
        <v>33</v>
      </c>
      <c r="C597" s="3">
        <v>-10.8125</v>
      </c>
      <c r="D597" s="3">
        <v>8</v>
      </c>
      <c r="E597" s="3" t="s">
        <v>53</v>
      </c>
      <c r="F597" s="3" t="s">
        <v>126</v>
      </c>
      <c r="G597" s="3">
        <v>2.652361295</v>
      </c>
    </row>
    <row r="598" spans="1:7" x14ac:dyDescent="0.3">
      <c r="A598" s="3" t="s">
        <v>4</v>
      </c>
      <c r="B598" s="3" t="s">
        <v>33</v>
      </c>
      <c r="C598" s="3">
        <v>-4.1666666670000003</v>
      </c>
      <c r="D598" s="3">
        <v>9</v>
      </c>
      <c r="E598" s="3" t="s">
        <v>53</v>
      </c>
      <c r="F598" s="3" t="s">
        <v>126</v>
      </c>
      <c r="G598" s="3">
        <v>3.0365542680000002</v>
      </c>
    </row>
    <row r="599" spans="1:7" x14ac:dyDescent="0.3">
      <c r="A599" s="3" t="s">
        <v>4</v>
      </c>
      <c r="B599" s="3" t="s">
        <v>33</v>
      </c>
      <c r="C599" s="3" t="s">
        <v>10</v>
      </c>
      <c r="D599" s="3">
        <v>10</v>
      </c>
      <c r="E599" s="3" t="s">
        <v>53</v>
      </c>
      <c r="F599" s="3" t="s">
        <v>126</v>
      </c>
      <c r="G599" s="3" t="s">
        <v>10</v>
      </c>
    </row>
    <row r="600" spans="1:7" x14ac:dyDescent="0.3">
      <c r="A600" s="3" t="s">
        <v>4</v>
      </c>
      <c r="B600" s="3" t="s">
        <v>33</v>
      </c>
      <c r="C600" s="3" t="s">
        <v>10</v>
      </c>
      <c r="D600" s="3">
        <v>11</v>
      </c>
      <c r="E600" s="3" t="s">
        <v>53</v>
      </c>
      <c r="F600" s="3" t="s">
        <v>126</v>
      </c>
      <c r="G600" s="3" t="s">
        <v>10</v>
      </c>
    </row>
    <row r="601" spans="1:7" x14ac:dyDescent="0.3">
      <c r="A601" s="3" t="s">
        <v>4</v>
      </c>
      <c r="B601" s="3" t="s">
        <v>33</v>
      </c>
      <c r="C601" s="3" t="s">
        <v>10</v>
      </c>
      <c r="D601" s="3">
        <v>12</v>
      </c>
      <c r="E601" s="3" t="s">
        <v>53</v>
      </c>
      <c r="F601" s="3" t="s">
        <v>126</v>
      </c>
      <c r="G601" s="3" t="s">
        <v>10</v>
      </c>
    </row>
    <row r="602" spans="1:7" x14ac:dyDescent="0.3">
      <c r="A602" s="3" t="s">
        <v>4</v>
      </c>
      <c r="B602" s="3" t="s">
        <v>33</v>
      </c>
      <c r="C602" s="3" t="s">
        <v>10</v>
      </c>
      <c r="D602" s="3">
        <v>13</v>
      </c>
      <c r="E602" s="3" t="s">
        <v>53</v>
      </c>
      <c r="F602" s="3" t="s">
        <v>126</v>
      </c>
      <c r="G602" s="3" t="s">
        <v>10</v>
      </c>
    </row>
    <row r="603" spans="1:7" x14ac:dyDescent="0.3">
      <c r="A603" s="3" t="s">
        <v>4</v>
      </c>
      <c r="B603" s="3" t="s">
        <v>33</v>
      </c>
      <c r="C603" s="3" t="s">
        <v>10</v>
      </c>
      <c r="D603" s="3">
        <v>14</v>
      </c>
      <c r="E603" s="3" t="s">
        <v>53</v>
      </c>
      <c r="F603" s="3" t="s">
        <v>126</v>
      </c>
      <c r="G603" s="3" t="s">
        <v>10</v>
      </c>
    </row>
    <row r="604" spans="1:7" x14ac:dyDescent="0.3">
      <c r="A604" s="3" t="s">
        <v>4</v>
      </c>
      <c r="B604" s="3" t="s">
        <v>33</v>
      </c>
      <c r="C604" s="3">
        <v>24.175000000000001</v>
      </c>
      <c r="D604" s="3">
        <v>47</v>
      </c>
      <c r="E604" s="3" t="s">
        <v>53</v>
      </c>
      <c r="F604" s="3" t="s">
        <v>126</v>
      </c>
      <c r="G604" s="3">
        <v>3.895385364</v>
      </c>
    </row>
    <row r="605" spans="1:7" x14ac:dyDescent="0.3">
      <c r="A605" s="3" t="s">
        <v>4</v>
      </c>
      <c r="B605" s="3" t="s">
        <v>33</v>
      </c>
      <c r="C605" s="3">
        <v>19.887499999999999</v>
      </c>
      <c r="D605" s="3">
        <v>48</v>
      </c>
      <c r="E605" s="3" t="s">
        <v>53</v>
      </c>
      <c r="F605" s="3" t="s">
        <v>126</v>
      </c>
      <c r="G605" s="3">
        <v>3.8041593599999999</v>
      </c>
    </row>
    <row r="606" spans="1:7" x14ac:dyDescent="0.3">
      <c r="A606" s="3" t="s">
        <v>4</v>
      </c>
      <c r="B606" s="3" t="s">
        <v>33</v>
      </c>
      <c r="C606" s="3">
        <v>12.46153846</v>
      </c>
      <c r="D606" s="3">
        <v>49</v>
      </c>
      <c r="E606" s="3" t="s">
        <v>53</v>
      </c>
      <c r="F606" s="3" t="s">
        <v>126</v>
      </c>
      <c r="G606" s="3">
        <v>3.623314766</v>
      </c>
    </row>
    <row r="607" spans="1:7" x14ac:dyDescent="0.3">
      <c r="A607" s="3" t="s">
        <v>4</v>
      </c>
      <c r="B607" s="3" t="s">
        <v>33</v>
      </c>
      <c r="C607" s="3">
        <v>11.0375</v>
      </c>
      <c r="D607" s="3">
        <v>50</v>
      </c>
      <c r="E607" s="3" t="s">
        <v>53</v>
      </c>
      <c r="F607" s="3" t="s">
        <v>126</v>
      </c>
      <c r="G607" s="3">
        <v>3.5845600630000001</v>
      </c>
    </row>
    <row r="608" spans="1:7" x14ac:dyDescent="0.3">
      <c r="A608" s="3" t="s">
        <v>4</v>
      </c>
      <c r="B608" s="3" t="s">
        <v>33</v>
      </c>
      <c r="C608" s="3">
        <v>8.9487179490000006</v>
      </c>
      <c r="D608" s="3">
        <v>51</v>
      </c>
      <c r="E608" s="3" t="s">
        <v>53</v>
      </c>
      <c r="F608" s="3" t="s">
        <v>126</v>
      </c>
      <c r="G608" s="3">
        <v>3.5248510899999999</v>
      </c>
    </row>
    <row r="609" spans="1:7" x14ac:dyDescent="0.3">
      <c r="A609" s="3" t="s">
        <v>4</v>
      </c>
      <c r="B609" s="3" t="s">
        <v>33</v>
      </c>
      <c r="C609" s="3">
        <v>7.4375</v>
      </c>
      <c r="D609" s="3">
        <v>52</v>
      </c>
      <c r="E609" s="3" t="s">
        <v>53</v>
      </c>
      <c r="F609" s="3" t="s">
        <v>126</v>
      </c>
      <c r="G609" s="3">
        <v>3.4793151610000002</v>
      </c>
    </row>
    <row r="610" spans="1:7" x14ac:dyDescent="0.3">
      <c r="A610" s="3" t="s">
        <v>4</v>
      </c>
      <c r="B610" s="3" t="s">
        <v>33</v>
      </c>
      <c r="C610" s="3">
        <v>5.8928571429999996</v>
      </c>
      <c r="D610" s="3">
        <v>53</v>
      </c>
      <c r="E610" s="3" t="s">
        <v>53</v>
      </c>
      <c r="F610" s="3" t="s">
        <v>126</v>
      </c>
      <c r="G610" s="3">
        <v>3.430524997</v>
      </c>
    </row>
    <row r="611" spans="1:7" x14ac:dyDescent="0.3">
      <c r="A611" s="3" t="s">
        <v>4</v>
      </c>
      <c r="B611" s="3" t="s">
        <v>29</v>
      </c>
      <c r="C611" s="3">
        <v>20.5</v>
      </c>
      <c r="D611" s="3">
        <v>1</v>
      </c>
      <c r="E611" s="3" t="s">
        <v>53</v>
      </c>
      <c r="F611" s="3" t="s">
        <v>126</v>
      </c>
      <c r="G611" s="3">
        <v>3.8177123260000001</v>
      </c>
    </row>
    <row r="612" spans="1:7" x14ac:dyDescent="0.3">
      <c r="A612" s="3" t="s">
        <v>4</v>
      </c>
      <c r="B612" s="3" t="s">
        <v>29</v>
      </c>
      <c r="C612" s="3">
        <v>24.537500000000001</v>
      </c>
      <c r="D612" s="3">
        <v>2</v>
      </c>
      <c r="E612" s="3" t="s">
        <v>53</v>
      </c>
      <c r="F612" s="3" t="s">
        <v>126</v>
      </c>
      <c r="G612" s="3">
        <v>3.9027299590000002</v>
      </c>
    </row>
    <row r="613" spans="1:7" x14ac:dyDescent="0.3">
      <c r="A613" s="3" t="s">
        <v>4</v>
      </c>
      <c r="B613" s="3" t="s">
        <v>29</v>
      </c>
      <c r="C613" s="3">
        <v>24.824999999999999</v>
      </c>
      <c r="D613" s="3">
        <v>3</v>
      </c>
      <c r="E613" s="3" t="s">
        <v>53</v>
      </c>
      <c r="F613" s="3" t="s">
        <v>126</v>
      </c>
      <c r="G613" s="3">
        <v>3.9085168659999998</v>
      </c>
    </row>
    <row r="614" spans="1:7" x14ac:dyDescent="0.3">
      <c r="A614" s="3" t="s">
        <v>4</v>
      </c>
      <c r="B614" s="3" t="s">
        <v>29</v>
      </c>
      <c r="C614" s="3">
        <v>28.717948719999999</v>
      </c>
      <c r="D614" s="3">
        <v>4</v>
      </c>
      <c r="E614" s="3" t="s">
        <v>53</v>
      </c>
      <c r="F614" s="3" t="s">
        <v>126</v>
      </c>
      <c r="G614" s="3">
        <v>3.983747186</v>
      </c>
    </row>
    <row r="615" spans="1:7" x14ac:dyDescent="0.3">
      <c r="A615" s="3" t="s">
        <v>4</v>
      </c>
      <c r="B615" s="3" t="s">
        <v>29</v>
      </c>
      <c r="C615" s="3">
        <v>29.112500000000001</v>
      </c>
      <c r="D615" s="3">
        <v>5</v>
      </c>
      <c r="E615" s="3" t="s">
        <v>53</v>
      </c>
      <c r="F615" s="3" t="s">
        <v>126</v>
      </c>
      <c r="G615" s="3">
        <v>3.9910652130000002</v>
      </c>
    </row>
    <row r="616" spans="1:7" x14ac:dyDescent="0.3">
      <c r="A616" s="3" t="s">
        <v>4</v>
      </c>
      <c r="B616" s="3" t="s">
        <v>29</v>
      </c>
      <c r="C616" s="3">
        <v>31.897435900000001</v>
      </c>
      <c r="D616" s="3">
        <v>6</v>
      </c>
      <c r="E616" s="3" t="s">
        <v>53</v>
      </c>
      <c r="F616" s="3" t="s">
        <v>126</v>
      </c>
      <c r="G616" s="3">
        <v>4.0412502769999996</v>
      </c>
    </row>
    <row r="617" spans="1:7" x14ac:dyDescent="0.3">
      <c r="A617" s="3" t="s">
        <v>4</v>
      </c>
      <c r="B617" s="3" t="s">
        <v>29</v>
      </c>
      <c r="C617" s="3">
        <v>32.575000000000003</v>
      </c>
      <c r="D617" s="3">
        <v>7</v>
      </c>
      <c r="E617" s="3" t="s">
        <v>53</v>
      </c>
      <c r="F617" s="3" t="s">
        <v>126</v>
      </c>
      <c r="G617" s="3">
        <v>4.0530884460000003</v>
      </c>
    </row>
    <row r="618" spans="1:7" x14ac:dyDescent="0.3">
      <c r="A618" s="3" t="s">
        <v>4</v>
      </c>
      <c r="B618" s="3" t="s">
        <v>29</v>
      </c>
      <c r="C618" s="3">
        <v>32.397435899999998</v>
      </c>
      <c r="D618" s="3">
        <v>8</v>
      </c>
      <c r="E618" s="3" t="s">
        <v>53</v>
      </c>
      <c r="F618" s="3" t="s">
        <v>126</v>
      </c>
      <c r="G618" s="3">
        <v>4.0499996319999996</v>
      </c>
    </row>
    <row r="619" spans="1:7" x14ac:dyDescent="0.3">
      <c r="A619" s="3" t="s">
        <v>4</v>
      </c>
      <c r="B619" s="3" t="s">
        <v>29</v>
      </c>
      <c r="C619" s="3">
        <v>33.262500000000003</v>
      </c>
      <c r="D619" s="3">
        <v>9</v>
      </c>
      <c r="E619" s="3" t="s">
        <v>53</v>
      </c>
      <c r="F619" s="3" t="s">
        <v>126</v>
      </c>
      <c r="G619" s="3">
        <v>4.0649586619999996</v>
      </c>
    </row>
    <row r="620" spans="1:7" x14ac:dyDescent="0.3">
      <c r="A620" s="3" t="s">
        <v>4</v>
      </c>
      <c r="B620" s="3" t="s">
        <v>29</v>
      </c>
      <c r="C620" s="3">
        <v>33.217948720000003</v>
      </c>
      <c r="D620" s="3">
        <v>10</v>
      </c>
      <c r="E620" s="3" t="s">
        <v>53</v>
      </c>
      <c r="F620" s="3" t="s">
        <v>126</v>
      </c>
      <c r="G620" s="3">
        <v>4.064193704</v>
      </c>
    </row>
    <row r="621" spans="1:7" x14ac:dyDescent="0.3">
      <c r="A621" s="3" t="s">
        <v>4</v>
      </c>
      <c r="B621" s="3" t="s">
        <v>29</v>
      </c>
      <c r="C621" s="3">
        <v>33.950000000000003</v>
      </c>
      <c r="D621" s="3">
        <v>11</v>
      </c>
      <c r="E621" s="3" t="s">
        <v>53</v>
      </c>
      <c r="F621" s="3" t="s">
        <v>126</v>
      </c>
      <c r="G621" s="3">
        <v>4.0766896270000004</v>
      </c>
    </row>
    <row r="622" spans="1:7" x14ac:dyDescent="0.3">
      <c r="A622" s="3" t="s">
        <v>4</v>
      </c>
      <c r="B622" s="3" t="s">
        <v>29</v>
      </c>
      <c r="C622" s="3">
        <v>34.320512819999998</v>
      </c>
      <c r="D622" s="3">
        <v>12</v>
      </c>
      <c r="E622" s="3" t="s">
        <v>53</v>
      </c>
      <c r="F622" s="3" t="s">
        <v>126</v>
      </c>
      <c r="G622" s="3">
        <v>4.0829551620000002</v>
      </c>
    </row>
    <row r="623" spans="1:7" x14ac:dyDescent="0.3">
      <c r="A623" s="3" t="s">
        <v>4</v>
      </c>
      <c r="B623" s="3" t="s">
        <v>29</v>
      </c>
      <c r="C623" s="3">
        <v>34.6875</v>
      </c>
      <c r="D623" s="3">
        <v>13</v>
      </c>
      <c r="E623" s="3" t="s">
        <v>53</v>
      </c>
      <c r="F623" s="3" t="s">
        <v>126</v>
      </c>
      <c r="G623" s="3">
        <v>4.0891226180000002</v>
      </c>
    </row>
    <row r="624" spans="1:7" x14ac:dyDescent="0.3">
      <c r="A624" s="3" t="s">
        <v>4</v>
      </c>
      <c r="B624" s="3" t="s">
        <v>29</v>
      </c>
      <c r="C624" s="3">
        <v>32.676470590000001</v>
      </c>
      <c r="D624" s="3">
        <v>14</v>
      </c>
      <c r="E624" s="3" t="s">
        <v>53</v>
      </c>
      <c r="F624" s="3" t="s">
        <v>126</v>
      </c>
      <c r="G624" s="3">
        <v>4.054849302</v>
      </c>
    </row>
    <row r="625" spans="1:7" x14ac:dyDescent="0.3">
      <c r="A625" s="3" t="s">
        <v>4</v>
      </c>
      <c r="B625" s="3" t="s">
        <v>29</v>
      </c>
      <c r="C625" s="3">
        <v>24.625</v>
      </c>
      <c r="D625" s="3">
        <v>47</v>
      </c>
      <c r="E625" s="3" t="s">
        <v>53</v>
      </c>
      <c r="F625" s="3" t="s">
        <v>126</v>
      </c>
      <c r="G625" s="3">
        <v>3.904494739</v>
      </c>
    </row>
    <row r="626" spans="1:7" x14ac:dyDescent="0.3">
      <c r="A626" s="3" t="s">
        <v>4</v>
      </c>
      <c r="B626" s="3" t="s">
        <v>29</v>
      </c>
      <c r="C626" s="3">
        <v>19.600000000000001</v>
      </c>
      <c r="D626" s="3">
        <v>48</v>
      </c>
      <c r="E626" s="3" t="s">
        <v>53</v>
      </c>
      <c r="F626" s="3" t="s">
        <v>126</v>
      </c>
      <c r="G626" s="3">
        <v>3.797733859</v>
      </c>
    </row>
    <row r="627" spans="1:7" x14ac:dyDescent="0.3">
      <c r="A627" s="3" t="s">
        <v>4</v>
      </c>
      <c r="B627" s="3" t="s">
        <v>29</v>
      </c>
      <c r="C627" s="3">
        <v>12.641025640000001</v>
      </c>
      <c r="D627" s="3">
        <v>49</v>
      </c>
      <c r="E627" s="3" t="s">
        <v>53</v>
      </c>
      <c r="F627" s="3" t="s">
        <v>126</v>
      </c>
      <c r="G627" s="3">
        <v>3.6280945629999999</v>
      </c>
    </row>
    <row r="628" spans="1:7" x14ac:dyDescent="0.3">
      <c r="A628" s="3" t="s">
        <v>4</v>
      </c>
      <c r="B628" s="3" t="s">
        <v>29</v>
      </c>
      <c r="C628" s="3">
        <v>14.6625</v>
      </c>
      <c r="D628" s="3">
        <v>50</v>
      </c>
      <c r="E628" s="3" t="s">
        <v>53</v>
      </c>
      <c r="F628" s="3" t="s">
        <v>126</v>
      </c>
      <c r="G628" s="3">
        <v>3.6804061570000002</v>
      </c>
    </row>
    <row r="629" spans="1:7" x14ac:dyDescent="0.3">
      <c r="A629" s="3" t="s">
        <v>4</v>
      </c>
      <c r="B629" s="3" t="s">
        <v>29</v>
      </c>
      <c r="C629" s="3">
        <v>18.205128210000002</v>
      </c>
      <c r="D629" s="3">
        <v>51</v>
      </c>
      <c r="E629" s="3" t="s">
        <v>53</v>
      </c>
      <c r="F629" s="3" t="s">
        <v>126</v>
      </c>
      <c r="G629" s="3">
        <v>3.7659591969999999</v>
      </c>
    </row>
    <row r="630" spans="1:7" x14ac:dyDescent="0.3">
      <c r="A630" s="3" t="s">
        <v>4</v>
      </c>
      <c r="B630" s="3" t="s">
        <v>29</v>
      </c>
      <c r="C630" s="3">
        <v>14.987500000000001</v>
      </c>
      <c r="D630" s="3">
        <v>52</v>
      </c>
      <c r="E630" s="3" t="s">
        <v>53</v>
      </c>
      <c r="F630" s="3" t="s">
        <v>126</v>
      </c>
      <c r="G630" s="3">
        <v>3.6885669050000001</v>
      </c>
    </row>
    <row r="631" spans="1:7" x14ac:dyDescent="0.3">
      <c r="A631" s="3" t="s">
        <v>4</v>
      </c>
      <c r="B631" s="3" t="s">
        <v>29</v>
      </c>
      <c r="C631" s="3">
        <v>12.23214286</v>
      </c>
      <c r="D631" s="3">
        <v>53</v>
      </c>
      <c r="E631" s="3" t="s">
        <v>53</v>
      </c>
      <c r="F631" s="3" t="s">
        <v>126</v>
      </c>
      <c r="G631" s="3">
        <v>3.6171724439999999</v>
      </c>
    </row>
    <row r="632" spans="1:7" x14ac:dyDescent="0.3">
      <c r="A632" s="3" t="s">
        <v>4</v>
      </c>
      <c r="B632" s="3" t="s">
        <v>45</v>
      </c>
      <c r="C632" s="3">
        <v>23.545454549999999</v>
      </c>
      <c r="D632" s="3">
        <v>1</v>
      </c>
      <c r="E632" s="3" t="s">
        <v>56</v>
      </c>
      <c r="F632" s="3" t="s">
        <v>126</v>
      </c>
      <c r="G632" s="3">
        <v>3.882500566</v>
      </c>
    </row>
    <row r="633" spans="1:7" x14ac:dyDescent="0.3">
      <c r="A633" s="3" t="s">
        <v>4</v>
      </c>
      <c r="B633" s="3" t="s">
        <v>45</v>
      </c>
      <c r="C633" s="3">
        <v>25.425000000000001</v>
      </c>
      <c r="D633" s="3">
        <v>2</v>
      </c>
      <c r="E633" s="3" t="s">
        <v>56</v>
      </c>
      <c r="F633" s="3" t="s">
        <v>126</v>
      </c>
      <c r="G633" s="3">
        <v>3.9204870839999999</v>
      </c>
    </row>
    <row r="634" spans="1:7" x14ac:dyDescent="0.3">
      <c r="A634" s="3" t="s">
        <v>4</v>
      </c>
      <c r="B634" s="3" t="s">
        <v>45</v>
      </c>
      <c r="C634" s="3">
        <v>24.61538462</v>
      </c>
      <c r="D634" s="3">
        <v>3</v>
      </c>
      <c r="E634" s="3" t="s">
        <v>56</v>
      </c>
      <c r="F634" s="3" t="s">
        <v>126</v>
      </c>
      <c r="G634" s="3">
        <v>3.904300959</v>
      </c>
    </row>
    <row r="635" spans="1:7" x14ac:dyDescent="0.3">
      <c r="A635" s="3" t="s">
        <v>4</v>
      </c>
      <c r="B635" s="3" t="s">
        <v>45</v>
      </c>
      <c r="C635" s="3">
        <v>25.65</v>
      </c>
      <c r="D635" s="3">
        <v>4</v>
      </c>
      <c r="E635" s="3" t="s">
        <v>56</v>
      </c>
      <c r="F635" s="3" t="s">
        <v>126</v>
      </c>
      <c r="G635" s="3">
        <v>3.9249392310000002</v>
      </c>
    </row>
    <row r="636" spans="1:7" x14ac:dyDescent="0.3">
      <c r="A636" s="3" t="s">
        <v>4</v>
      </c>
      <c r="B636" s="3" t="s">
        <v>45</v>
      </c>
      <c r="C636" s="3">
        <v>24.76923077</v>
      </c>
      <c r="D636" s="3">
        <v>5</v>
      </c>
      <c r="E636" s="3" t="s">
        <v>56</v>
      </c>
      <c r="F636" s="3" t="s">
        <v>126</v>
      </c>
      <c r="G636" s="3">
        <v>3.9073969370000001</v>
      </c>
    </row>
    <row r="637" spans="1:7" x14ac:dyDescent="0.3">
      <c r="A637" s="3" t="s">
        <v>4</v>
      </c>
      <c r="B637" s="3" t="s">
        <v>45</v>
      </c>
      <c r="C637" s="3">
        <v>26.35</v>
      </c>
      <c r="D637" s="3">
        <v>6</v>
      </c>
      <c r="E637" s="3" t="s">
        <v>56</v>
      </c>
      <c r="F637" s="3" t="s">
        <v>126</v>
      </c>
      <c r="G637" s="3">
        <v>3.9386649359999999</v>
      </c>
    </row>
    <row r="638" spans="1:7" x14ac:dyDescent="0.3">
      <c r="A638" s="3" t="s">
        <v>4</v>
      </c>
      <c r="B638" s="3" t="s">
        <v>45</v>
      </c>
      <c r="C638" s="3">
        <v>24.064102559999998</v>
      </c>
      <c r="D638" s="3">
        <v>7</v>
      </c>
      <c r="E638" s="3" t="s">
        <v>56</v>
      </c>
      <c r="F638" s="3" t="s">
        <v>126</v>
      </c>
      <c r="G638" s="3">
        <v>3.8931276590000001</v>
      </c>
    </row>
    <row r="639" spans="1:7" x14ac:dyDescent="0.3">
      <c r="A639" s="3" t="s">
        <v>4</v>
      </c>
      <c r="B639" s="3" t="s">
        <v>45</v>
      </c>
      <c r="C639" s="3">
        <v>21.625</v>
      </c>
      <c r="D639" s="3">
        <v>8</v>
      </c>
      <c r="E639" s="3" t="s">
        <v>56</v>
      </c>
      <c r="F639" s="3" t="s">
        <v>126</v>
      </c>
      <c r="G639" s="3">
        <v>3.8421368779999998</v>
      </c>
    </row>
    <row r="640" spans="1:7" x14ac:dyDescent="0.3">
      <c r="A640" s="3" t="s">
        <v>4</v>
      </c>
      <c r="B640" s="3" t="s">
        <v>45</v>
      </c>
      <c r="C640" s="3">
        <v>23.666666670000001</v>
      </c>
      <c r="D640" s="3">
        <v>9</v>
      </c>
      <c r="E640" s="3" t="s">
        <v>56</v>
      </c>
      <c r="F640" s="3" t="s">
        <v>126</v>
      </c>
      <c r="G640" s="3">
        <v>3.8849943329999999</v>
      </c>
    </row>
    <row r="641" spans="1:7" x14ac:dyDescent="0.3">
      <c r="A641" s="3" t="s">
        <v>4</v>
      </c>
      <c r="B641" s="3" t="s">
        <v>45</v>
      </c>
      <c r="C641" s="3">
        <v>26.487500000000001</v>
      </c>
      <c r="D641" s="3">
        <v>10</v>
      </c>
      <c r="E641" s="3" t="s">
        <v>56</v>
      </c>
      <c r="F641" s="3" t="s">
        <v>126</v>
      </c>
      <c r="G641" s="3">
        <v>3.9413390599999998</v>
      </c>
    </row>
    <row r="642" spans="1:7" x14ac:dyDescent="0.3">
      <c r="A642" s="3" t="s">
        <v>4</v>
      </c>
      <c r="B642" s="3" t="s">
        <v>45</v>
      </c>
      <c r="C642" s="3">
        <v>32.200000000000003</v>
      </c>
      <c r="D642" s="3">
        <v>11</v>
      </c>
      <c r="E642" s="3" t="s">
        <v>56</v>
      </c>
      <c r="F642" s="3" t="s">
        <v>126</v>
      </c>
      <c r="G642" s="3">
        <v>4.046553898</v>
      </c>
    </row>
    <row r="643" spans="1:7" x14ac:dyDescent="0.3">
      <c r="A643" s="3" t="s">
        <v>4</v>
      </c>
      <c r="B643" s="3" t="s">
        <v>45</v>
      </c>
      <c r="C643" s="3">
        <v>32.474358969999997</v>
      </c>
      <c r="D643" s="3">
        <v>12</v>
      </c>
      <c r="E643" s="3" t="s">
        <v>56</v>
      </c>
      <c r="F643" s="3" t="s">
        <v>126</v>
      </c>
      <c r="G643" s="3">
        <v>4.0513389169999998</v>
      </c>
    </row>
    <row r="644" spans="1:7" x14ac:dyDescent="0.3">
      <c r="A644" s="3" t="s">
        <v>4</v>
      </c>
      <c r="B644" s="3" t="s">
        <v>45</v>
      </c>
      <c r="C644" s="3">
        <v>34.34615385</v>
      </c>
      <c r="D644" s="3">
        <v>13</v>
      </c>
      <c r="E644" s="3" t="s">
        <v>56</v>
      </c>
      <c r="F644" s="3" t="s">
        <v>126</v>
      </c>
      <c r="G644" s="3">
        <v>4.0833873140000003</v>
      </c>
    </row>
    <row r="645" spans="1:7" x14ac:dyDescent="0.3">
      <c r="A645" s="3" t="s">
        <v>4</v>
      </c>
      <c r="B645" s="3" t="s">
        <v>45</v>
      </c>
      <c r="C645" s="3">
        <v>34.5</v>
      </c>
      <c r="D645" s="3">
        <v>14</v>
      </c>
      <c r="E645" s="3" t="s">
        <v>56</v>
      </c>
      <c r="F645" s="3" t="s">
        <v>126</v>
      </c>
      <c r="G645" s="3">
        <v>4.0859763129999997</v>
      </c>
    </row>
    <row r="646" spans="1:7" x14ac:dyDescent="0.3">
      <c r="A646" s="3" t="s">
        <v>4</v>
      </c>
      <c r="B646" s="3" t="s">
        <v>45</v>
      </c>
      <c r="C646" s="3">
        <v>26.074999999999999</v>
      </c>
      <c r="D646" s="3">
        <v>47</v>
      </c>
      <c r="E646" s="3" t="s">
        <v>56</v>
      </c>
      <c r="F646" s="3" t="s">
        <v>126</v>
      </c>
      <c r="G646" s="3">
        <v>3.9332951409999999</v>
      </c>
    </row>
    <row r="647" spans="1:7" x14ac:dyDescent="0.3">
      <c r="A647" s="3" t="s">
        <v>4</v>
      </c>
      <c r="B647" s="3" t="s">
        <v>45</v>
      </c>
      <c r="C647" s="3">
        <v>25.4375</v>
      </c>
      <c r="D647" s="3">
        <v>48</v>
      </c>
      <c r="E647" s="3" t="s">
        <v>56</v>
      </c>
      <c r="F647" s="3" t="s">
        <v>126</v>
      </c>
      <c r="G647" s="3">
        <v>3.9207349460000001</v>
      </c>
    </row>
    <row r="648" spans="1:7" x14ac:dyDescent="0.3">
      <c r="A648" s="3" t="s">
        <v>4</v>
      </c>
      <c r="B648" s="3" t="s">
        <v>45</v>
      </c>
      <c r="C648" s="3">
        <v>23.73076923</v>
      </c>
      <c r="D648" s="3">
        <v>49</v>
      </c>
      <c r="E648" s="3" t="s">
        <v>56</v>
      </c>
      <c r="F648" s="3" t="s">
        <v>126</v>
      </c>
      <c r="G648" s="3">
        <v>3.8863106420000002</v>
      </c>
    </row>
    <row r="649" spans="1:7" x14ac:dyDescent="0.3">
      <c r="A649" s="3" t="s">
        <v>4</v>
      </c>
      <c r="B649" s="3" t="s">
        <v>45</v>
      </c>
      <c r="C649" s="3">
        <v>24.625</v>
      </c>
      <c r="D649" s="3">
        <v>50</v>
      </c>
      <c r="E649" s="3" t="s">
        <v>56</v>
      </c>
      <c r="F649" s="3" t="s">
        <v>126</v>
      </c>
      <c r="G649" s="3">
        <v>3.904494739</v>
      </c>
    </row>
    <row r="650" spans="1:7" x14ac:dyDescent="0.3">
      <c r="A650" s="3" t="s">
        <v>4</v>
      </c>
      <c r="B650" s="3" t="s">
        <v>45</v>
      </c>
      <c r="C650" s="3">
        <v>23.756410259999999</v>
      </c>
      <c r="D650" s="3">
        <v>51</v>
      </c>
      <c r="E650" s="3" t="s">
        <v>56</v>
      </c>
      <c r="F650" s="3" t="s">
        <v>126</v>
      </c>
      <c r="G650" s="3">
        <v>3.8868366810000001</v>
      </c>
    </row>
    <row r="651" spans="1:7" x14ac:dyDescent="0.3">
      <c r="A651" s="3" t="s">
        <v>4</v>
      </c>
      <c r="B651" s="3" t="s">
        <v>45</v>
      </c>
      <c r="C651" s="3">
        <v>24.137499999999999</v>
      </c>
      <c r="D651" s="3">
        <v>52</v>
      </c>
      <c r="E651" s="3" t="s">
        <v>56</v>
      </c>
      <c r="F651" s="3" t="s">
        <v>126</v>
      </c>
      <c r="G651" s="3">
        <v>3.8946224909999998</v>
      </c>
    </row>
    <row r="652" spans="1:7" x14ac:dyDescent="0.3">
      <c r="A652" s="3" t="s">
        <v>4</v>
      </c>
      <c r="B652" s="3" t="s">
        <v>45</v>
      </c>
      <c r="C652" s="3">
        <v>23.51785714</v>
      </c>
      <c r="D652" s="3">
        <v>53</v>
      </c>
      <c r="E652" s="3" t="s">
        <v>56</v>
      </c>
      <c r="F652" s="3" t="s">
        <v>126</v>
      </c>
      <c r="G652" s="3">
        <v>3.8819319189999999</v>
      </c>
    </row>
    <row r="653" spans="1:7" x14ac:dyDescent="0.3">
      <c r="A653" s="3" t="s">
        <v>5</v>
      </c>
      <c r="B653" s="3" t="s">
        <v>44</v>
      </c>
      <c r="C653" s="3">
        <v>8.4090909089999997</v>
      </c>
      <c r="D653" s="3">
        <v>1</v>
      </c>
      <c r="E653" s="3" t="s">
        <v>56</v>
      </c>
      <c r="F653" s="3" t="s">
        <v>126</v>
      </c>
      <c r="G653" s="3">
        <v>3.5088280460000001</v>
      </c>
    </row>
    <row r="654" spans="1:7" x14ac:dyDescent="0.3">
      <c r="A654" s="3" t="s">
        <v>5</v>
      </c>
      <c r="B654" s="3" t="s">
        <v>44</v>
      </c>
      <c r="C654" s="3">
        <v>20.8</v>
      </c>
      <c r="D654" s="3">
        <v>2</v>
      </c>
      <c r="E654" s="3" t="s">
        <v>56</v>
      </c>
      <c r="F654" s="3" t="s">
        <v>126</v>
      </c>
      <c r="G654" s="3">
        <v>3.824284091</v>
      </c>
    </row>
    <row r="655" spans="1:7" x14ac:dyDescent="0.3">
      <c r="A655" s="3" t="s">
        <v>5</v>
      </c>
      <c r="B655" s="3" t="s">
        <v>44</v>
      </c>
      <c r="C655" s="3">
        <v>25.064102559999998</v>
      </c>
      <c r="D655" s="3">
        <v>3</v>
      </c>
      <c r="E655" s="3" t="s">
        <v>56</v>
      </c>
      <c r="F655" s="3" t="s">
        <v>126</v>
      </c>
      <c r="G655" s="3">
        <v>3.9133042360000001</v>
      </c>
    </row>
    <row r="656" spans="1:7" x14ac:dyDescent="0.3">
      <c r="A656" s="3" t="s">
        <v>5</v>
      </c>
      <c r="B656" s="3" t="s">
        <v>44</v>
      </c>
      <c r="C656" s="3">
        <v>29.662500000000001</v>
      </c>
      <c r="D656" s="3">
        <v>4</v>
      </c>
      <c r="E656" s="3" t="s">
        <v>56</v>
      </c>
      <c r="F656" s="3" t="s">
        <v>126</v>
      </c>
      <c r="G656" s="3">
        <v>4.0011779169999997</v>
      </c>
    </row>
    <row r="657" spans="1:7" x14ac:dyDescent="0.3">
      <c r="A657" s="3" t="s">
        <v>5</v>
      </c>
      <c r="B657" s="3" t="s">
        <v>44</v>
      </c>
      <c r="C657" s="3">
        <v>30.205128210000002</v>
      </c>
      <c r="D657" s="3">
        <v>5</v>
      </c>
      <c r="E657" s="3" t="s">
        <v>56</v>
      </c>
      <c r="F657" s="3" t="s">
        <v>126</v>
      </c>
      <c r="G657" s="3">
        <v>4.0110558510000001</v>
      </c>
    </row>
    <row r="658" spans="1:7" x14ac:dyDescent="0.3">
      <c r="A658" s="3" t="s">
        <v>5</v>
      </c>
      <c r="B658" s="3" t="s">
        <v>44</v>
      </c>
      <c r="C658" s="3">
        <v>32.0625</v>
      </c>
      <c r="D658" s="3">
        <v>6</v>
      </c>
      <c r="E658" s="3" t="s">
        <v>56</v>
      </c>
      <c r="F658" s="3" t="s">
        <v>126</v>
      </c>
      <c r="G658" s="3">
        <v>4.0441471580000004</v>
      </c>
    </row>
    <row r="659" spans="1:7" x14ac:dyDescent="0.3">
      <c r="A659" s="3" t="s">
        <v>5</v>
      </c>
      <c r="B659" s="3" t="s">
        <v>44</v>
      </c>
      <c r="C659" s="3">
        <v>33.256410260000003</v>
      </c>
      <c r="D659" s="3">
        <v>7</v>
      </c>
      <c r="E659" s="3" t="s">
        <v>56</v>
      </c>
      <c r="F659" s="3" t="s">
        <v>126</v>
      </c>
      <c r="G659" s="3">
        <v>4.064854134</v>
      </c>
    </row>
    <row r="660" spans="1:7" x14ac:dyDescent="0.3">
      <c r="A660" s="3" t="s">
        <v>5</v>
      </c>
      <c r="B660" s="3" t="s">
        <v>44</v>
      </c>
      <c r="C660" s="3">
        <v>32.512500000000003</v>
      </c>
      <c r="D660" s="3">
        <v>8</v>
      </c>
      <c r="E660" s="3" t="s">
        <v>56</v>
      </c>
      <c r="F660" s="3" t="s">
        <v>126</v>
      </c>
      <c r="G660" s="3">
        <v>4.0520023150000002</v>
      </c>
    </row>
    <row r="661" spans="1:7" x14ac:dyDescent="0.3">
      <c r="A661" s="3" t="s">
        <v>5</v>
      </c>
      <c r="B661" s="3" t="s">
        <v>44</v>
      </c>
      <c r="C661" s="3">
        <v>33.42307692</v>
      </c>
      <c r="D661" s="3">
        <v>9</v>
      </c>
      <c r="E661" s="3" t="s">
        <v>56</v>
      </c>
      <c r="F661" s="3" t="s">
        <v>126</v>
      </c>
      <c r="G661" s="3">
        <v>4.0677109649999998</v>
      </c>
    </row>
    <row r="662" spans="1:7" x14ac:dyDescent="0.3">
      <c r="A662" s="3" t="s">
        <v>5</v>
      </c>
      <c r="B662" s="3" t="s">
        <v>44</v>
      </c>
      <c r="C662" s="3">
        <v>33.337499999999999</v>
      </c>
      <c r="D662" s="3">
        <v>10</v>
      </c>
      <c r="E662" s="3" t="s">
        <v>56</v>
      </c>
      <c r="F662" s="3" t="s">
        <v>126</v>
      </c>
      <c r="G662" s="3">
        <v>4.0662451109999997</v>
      </c>
    </row>
    <row r="663" spans="1:7" x14ac:dyDescent="0.3">
      <c r="A663" s="3" t="s">
        <v>5</v>
      </c>
      <c r="B663" s="3" t="s">
        <v>44</v>
      </c>
      <c r="C663" s="3">
        <v>34.6875</v>
      </c>
      <c r="D663" s="3">
        <v>11</v>
      </c>
      <c r="E663" s="3" t="s">
        <v>56</v>
      </c>
      <c r="F663" s="3" t="s">
        <v>126</v>
      </c>
      <c r="G663" s="3">
        <v>4.0891226180000002</v>
      </c>
    </row>
    <row r="664" spans="1:7" x14ac:dyDescent="0.3">
      <c r="A664" s="3" t="s">
        <v>5</v>
      </c>
      <c r="B664" s="3" t="s">
        <v>44</v>
      </c>
      <c r="C664" s="3">
        <v>34.96153846</v>
      </c>
      <c r="D664" s="3">
        <v>12</v>
      </c>
      <c r="E664" s="3" t="s">
        <v>56</v>
      </c>
      <c r="F664" s="3" t="s">
        <v>126</v>
      </c>
      <c r="G664" s="3">
        <v>4.0937033310000004</v>
      </c>
    </row>
    <row r="665" spans="1:7" x14ac:dyDescent="0.3">
      <c r="A665" s="3" t="s">
        <v>5</v>
      </c>
      <c r="B665" s="3" t="s">
        <v>44</v>
      </c>
      <c r="C665" s="3">
        <v>35.487179490000003</v>
      </c>
      <c r="D665" s="3">
        <v>13</v>
      </c>
      <c r="E665" s="3" t="s">
        <v>56</v>
      </c>
      <c r="F665" s="3" t="s">
        <v>126</v>
      </c>
      <c r="G665" s="3">
        <v>4.1024314329999996</v>
      </c>
    </row>
    <row r="666" spans="1:7" x14ac:dyDescent="0.3">
      <c r="A666" s="3" t="s">
        <v>5</v>
      </c>
      <c r="B666" s="3" t="s">
        <v>44</v>
      </c>
      <c r="C666" s="3">
        <v>35.441176470000002</v>
      </c>
      <c r="D666" s="3">
        <v>14</v>
      </c>
      <c r="E666" s="3" t="s">
        <v>56</v>
      </c>
      <c r="F666" s="3" t="s">
        <v>126</v>
      </c>
      <c r="G666" s="3">
        <v>4.1016706020000004</v>
      </c>
    </row>
    <row r="667" spans="1:7" x14ac:dyDescent="0.3">
      <c r="A667" s="3" t="s">
        <v>5</v>
      </c>
      <c r="B667" s="3" t="s">
        <v>44</v>
      </c>
      <c r="C667" s="3">
        <v>28.85</v>
      </c>
      <c r="D667" s="3">
        <v>47</v>
      </c>
      <c r="E667" s="3" t="s">
        <v>56</v>
      </c>
      <c r="F667" s="3" t="s">
        <v>126</v>
      </c>
      <c r="G667" s="3">
        <v>3.9862024040000001</v>
      </c>
    </row>
    <row r="668" spans="1:7" x14ac:dyDescent="0.3">
      <c r="A668" s="3" t="s">
        <v>5</v>
      </c>
      <c r="B668" s="3" t="s">
        <v>44</v>
      </c>
      <c r="C668" s="3">
        <v>22.887499999999999</v>
      </c>
      <c r="D668" s="3">
        <v>48</v>
      </c>
      <c r="E668" s="3" t="s">
        <v>56</v>
      </c>
      <c r="F668" s="3" t="s">
        <v>126</v>
      </c>
      <c r="G668" s="3">
        <v>3.8688545099999998</v>
      </c>
    </row>
    <row r="669" spans="1:7" x14ac:dyDescent="0.3">
      <c r="A669" s="3" t="s">
        <v>5</v>
      </c>
      <c r="B669" s="3" t="s">
        <v>44</v>
      </c>
      <c r="C669" s="3">
        <v>17</v>
      </c>
      <c r="D669" s="3">
        <v>49</v>
      </c>
      <c r="E669" s="3" t="s">
        <v>56</v>
      </c>
      <c r="F669" s="3" t="s">
        <v>126</v>
      </c>
      <c r="G669" s="3">
        <v>3.737669618</v>
      </c>
    </row>
    <row r="670" spans="1:7" x14ac:dyDescent="0.3">
      <c r="A670" s="3" t="s">
        <v>5</v>
      </c>
      <c r="B670" s="3" t="s">
        <v>44</v>
      </c>
      <c r="C670" s="3">
        <v>19.637499999999999</v>
      </c>
      <c r="D670" s="3">
        <v>50</v>
      </c>
      <c r="E670" s="3" t="s">
        <v>56</v>
      </c>
      <c r="F670" s="3" t="s">
        <v>126</v>
      </c>
      <c r="G670" s="3">
        <v>3.798574313</v>
      </c>
    </row>
    <row r="671" spans="1:7" x14ac:dyDescent="0.3">
      <c r="A671" s="3" t="s">
        <v>5</v>
      </c>
      <c r="B671" s="3" t="s">
        <v>44</v>
      </c>
      <c r="C671" s="3">
        <v>18.858974360000001</v>
      </c>
      <c r="D671" s="3">
        <v>51</v>
      </c>
      <c r="E671" s="3" t="s">
        <v>56</v>
      </c>
      <c r="F671" s="3" t="s">
        <v>126</v>
      </c>
      <c r="G671" s="3">
        <v>3.7809793580000002</v>
      </c>
    </row>
    <row r="672" spans="1:7" x14ac:dyDescent="0.3">
      <c r="A672" s="3" t="s">
        <v>5</v>
      </c>
      <c r="B672" s="3" t="s">
        <v>44</v>
      </c>
      <c r="C672" s="3">
        <v>13.637499999999999</v>
      </c>
      <c r="D672" s="3">
        <v>52</v>
      </c>
      <c r="E672" s="3" t="s">
        <v>56</v>
      </c>
      <c r="F672" s="3" t="s">
        <v>126</v>
      </c>
      <c r="G672" s="3">
        <v>3.6542233070000001</v>
      </c>
    </row>
    <row r="673" spans="1:7" x14ac:dyDescent="0.3">
      <c r="A673" s="3" t="s">
        <v>5</v>
      </c>
      <c r="B673" s="3" t="s">
        <v>44</v>
      </c>
      <c r="C673" s="3">
        <v>10.14285714</v>
      </c>
      <c r="D673" s="3">
        <v>53</v>
      </c>
      <c r="E673" s="3" t="s">
        <v>56</v>
      </c>
      <c r="F673" s="3" t="s">
        <v>126</v>
      </c>
      <c r="G673" s="3">
        <v>3.559421387</v>
      </c>
    </row>
    <row r="674" spans="1:7" x14ac:dyDescent="0.3">
      <c r="A674" s="3" t="s">
        <v>5</v>
      </c>
      <c r="B674" s="3" t="s">
        <v>27</v>
      </c>
      <c r="C674" s="3">
        <v>0.68181818199999999</v>
      </c>
      <c r="D674" s="3">
        <v>1</v>
      </c>
      <c r="E674" s="3" t="s">
        <v>52</v>
      </c>
      <c r="F674" s="3" t="s">
        <v>126</v>
      </c>
      <c r="G674" s="3">
        <v>3.2457832780000002</v>
      </c>
    </row>
    <row r="675" spans="1:7" x14ac:dyDescent="0.3">
      <c r="A675" s="3" t="s">
        <v>5</v>
      </c>
      <c r="B675" s="3" t="s">
        <v>27</v>
      </c>
      <c r="C675" s="3">
        <v>0.91249999999999998</v>
      </c>
      <c r="D675" s="3">
        <v>2</v>
      </c>
      <c r="E675" s="3" t="s">
        <v>52</v>
      </c>
      <c r="F675" s="3" t="s">
        <v>126</v>
      </c>
      <c r="G675" s="3">
        <v>3.2547254780000001</v>
      </c>
    </row>
    <row r="676" spans="1:7" x14ac:dyDescent="0.3">
      <c r="A676" s="3" t="s">
        <v>5</v>
      </c>
      <c r="B676" s="3" t="s">
        <v>27</v>
      </c>
      <c r="C676" s="3">
        <v>0.14102564100000001</v>
      </c>
      <c r="D676" s="3">
        <v>3</v>
      </c>
      <c r="E676" s="3" t="s">
        <v>52</v>
      </c>
      <c r="F676" s="3" t="s">
        <v>126</v>
      </c>
      <c r="G676" s="3">
        <v>3.2245010000000001</v>
      </c>
    </row>
    <row r="677" spans="1:7" x14ac:dyDescent="0.3">
      <c r="A677" s="3" t="s">
        <v>5</v>
      </c>
      <c r="B677" s="3" t="s">
        <v>27</v>
      </c>
      <c r="C677" s="3">
        <v>-1</v>
      </c>
      <c r="D677" s="3">
        <v>4</v>
      </c>
      <c r="E677" s="3" t="s">
        <v>52</v>
      </c>
      <c r="F677" s="3" t="s">
        <v>126</v>
      </c>
      <c r="G677" s="3">
        <v>3.1780538300000001</v>
      </c>
    </row>
    <row r="678" spans="1:7" x14ac:dyDescent="0.3">
      <c r="A678" s="3" t="s">
        <v>5</v>
      </c>
      <c r="B678" s="3" t="s">
        <v>27</v>
      </c>
      <c r="C678" s="3">
        <v>-1.397435897</v>
      </c>
      <c r="D678" s="3">
        <v>5</v>
      </c>
      <c r="E678" s="3" t="s">
        <v>52</v>
      </c>
      <c r="F678" s="3" t="s">
        <v>126</v>
      </c>
      <c r="G678" s="3">
        <v>3.161355355</v>
      </c>
    </row>
    <row r="679" spans="1:7" x14ac:dyDescent="0.3">
      <c r="A679" s="3" t="s">
        <v>5</v>
      </c>
      <c r="B679" s="3" t="s">
        <v>27</v>
      </c>
      <c r="C679" s="3">
        <v>-1.8374999999999999</v>
      </c>
      <c r="D679" s="3">
        <v>6</v>
      </c>
      <c r="E679" s="3" t="s">
        <v>52</v>
      </c>
      <c r="F679" s="3" t="s">
        <v>126</v>
      </c>
      <c r="G679" s="3">
        <v>3.1425345920000001</v>
      </c>
    </row>
    <row r="680" spans="1:7" x14ac:dyDescent="0.3">
      <c r="A680" s="3" t="s">
        <v>5</v>
      </c>
      <c r="B680" s="3" t="s">
        <v>27</v>
      </c>
      <c r="C680" s="3">
        <v>-9.1666666669999994</v>
      </c>
      <c r="D680" s="3">
        <v>7</v>
      </c>
      <c r="E680" s="3" t="s">
        <v>52</v>
      </c>
      <c r="F680" s="3" t="s">
        <v>126</v>
      </c>
      <c r="G680" s="3">
        <v>2.7621174220000002</v>
      </c>
    </row>
    <row r="681" spans="1:7" x14ac:dyDescent="0.3">
      <c r="A681" s="3" t="s">
        <v>5</v>
      </c>
      <c r="B681" s="3" t="s">
        <v>27</v>
      </c>
      <c r="C681" s="3">
        <v>-10.525</v>
      </c>
      <c r="D681" s="3">
        <v>8</v>
      </c>
      <c r="E681" s="3" t="s">
        <v>52</v>
      </c>
      <c r="F681" s="3" t="s">
        <v>126</v>
      </c>
      <c r="G681" s="3">
        <v>2.6724230229999999</v>
      </c>
    </row>
    <row r="682" spans="1:7" x14ac:dyDescent="0.3">
      <c r="A682" s="3" t="s">
        <v>5</v>
      </c>
      <c r="B682" s="3" t="s">
        <v>27</v>
      </c>
      <c r="C682" s="3">
        <v>2.9102564100000001</v>
      </c>
      <c r="D682" s="3">
        <v>9</v>
      </c>
      <c r="E682" s="3" t="s">
        <v>52</v>
      </c>
      <c r="F682" s="3" t="s">
        <v>126</v>
      </c>
      <c r="G682" s="3">
        <v>3.3289942350000001</v>
      </c>
    </row>
    <row r="683" spans="1:7" x14ac:dyDescent="0.3">
      <c r="A683" s="3" t="s">
        <v>5</v>
      </c>
      <c r="B683" s="3" t="s">
        <v>27</v>
      </c>
      <c r="C683" s="3">
        <v>4.2125000000000004</v>
      </c>
      <c r="D683" s="3">
        <v>10</v>
      </c>
      <c r="E683" s="3" t="s">
        <v>52</v>
      </c>
      <c r="F683" s="3" t="s">
        <v>126</v>
      </c>
      <c r="G683" s="3">
        <v>3.3745967000000001</v>
      </c>
    </row>
    <row r="684" spans="1:7" x14ac:dyDescent="0.3">
      <c r="A684" s="3" t="s">
        <v>5</v>
      </c>
      <c r="B684" s="3" t="s">
        <v>27</v>
      </c>
      <c r="C684" s="3">
        <v>9.9124999999999996</v>
      </c>
      <c r="D684" s="3">
        <v>11</v>
      </c>
      <c r="E684" s="3" t="s">
        <v>52</v>
      </c>
      <c r="F684" s="3" t="s">
        <v>126</v>
      </c>
      <c r="G684" s="3">
        <v>3.5528449310000001</v>
      </c>
    </row>
    <row r="685" spans="1:7" x14ac:dyDescent="0.3">
      <c r="A685" s="3" t="s">
        <v>5</v>
      </c>
      <c r="B685" s="3" t="s">
        <v>27</v>
      </c>
      <c r="C685" s="3">
        <v>5.9487179489999997</v>
      </c>
      <c r="D685" s="3">
        <v>12</v>
      </c>
      <c r="E685" s="3" t="s">
        <v>52</v>
      </c>
      <c r="F685" s="3" t="s">
        <v>126</v>
      </c>
      <c r="G685" s="3">
        <v>3.4323315750000001</v>
      </c>
    </row>
    <row r="686" spans="1:7" x14ac:dyDescent="0.3">
      <c r="A686" s="3" t="s">
        <v>5</v>
      </c>
      <c r="B686" s="3" t="s">
        <v>27</v>
      </c>
      <c r="C686" s="3">
        <v>11.20512821</v>
      </c>
      <c r="D686" s="3">
        <v>13</v>
      </c>
      <c r="E686" s="3" t="s">
        <v>52</v>
      </c>
      <c r="F686" s="3" t="s">
        <v>126</v>
      </c>
      <c r="G686" s="3">
        <v>3.5892007719999999</v>
      </c>
    </row>
    <row r="687" spans="1:7" x14ac:dyDescent="0.3">
      <c r="A687" s="3" t="s">
        <v>5</v>
      </c>
      <c r="B687" s="3" t="s">
        <v>27</v>
      </c>
      <c r="C687" s="3">
        <v>10.29411765</v>
      </c>
      <c r="D687" s="3">
        <v>14</v>
      </c>
      <c r="E687" s="3" t="s">
        <v>52</v>
      </c>
      <c r="F687" s="3" t="s">
        <v>126</v>
      </c>
      <c r="G687" s="3">
        <v>3.5637163109999999</v>
      </c>
    </row>
    <row r="688" spans="1:7" x14ac:dyDescent="0.3">
      <c r="A688" s="3" t="s">
        <v>5</v>
      </c>
      <c r="B688" s="3" t="s">
        <v>27</v>
      </c>
      <c r="C688" s="3">
        <v>26.8</v>
      </c>
      <c r="D688" s="3">
        <v>47</v>
      </c>
      <c r="E688" s="3" t="s">
        <v>52</v>
      </c>
      <c r="F688" s="3" t="s">
        <v>126</v>
      </c>
      <c r="G688" s="3">
        <v>3.9473901489999998</v>
      </c>
    </row>
    <row r="689" spans="1:7" x14ac:dyDescent="0.3">
      <c r="A689" s="3" t="s">
        <v>5</v>
      </c>
      <c r="B689" s="3" t="s">
        <v>27</v>
      </c>
      <c r="C689" s="3">
        <v>33.875</v>
      </c>
      <c r="D689" s="3">
        <v>48</v>
      </c>
      <c r="E689" s="3" t="s">
        <v>52</v>
      </c>
      <c r="F689" s="3" t="s">
        <v>126</v>
      </c>
      <c r="G689" s="3">
        <v>4.0754165520000001</v>
      </c>
    </row>
    <row r="690" spans="1:7" x14ac:dyDescent="0.3">
      <c r="A690" s="3" t="s">
        <v>5</v>
      </c>
      <c r="B690" s="3" t="s">
        <v>27</v>
      </c>
      <c r="C690" s="3">
        <v>23.102564099999999</v>
      </c>
      <c r="D690" s="3">
        <v>49</v>
      </c>
      <c r="E690" s="3" t="s">
        <v>52</v>
      </c>
      <c r="F690" s="3" t="s">
        <v>126</v>
      </c>
      <c r="G690" s="3">
        <v>3.873335483</v>
      </c>
    </row>
    <row r="691" spans="1:7" x14ac:dyDescent="0.3">
      <c r="A691" s="3" t="s">
        <v>5</v>
      </c>
      <c r="B691" s="3" t="s">
        <v>27</v>
      </c>
      <c r="C691" s="3">
        <v>13.275</v>
      </c>
      <c r="D691" s="3">
        <v>50</v>
      </c>
      <c r="E691" s="3" t="s">
        <v>52</v>
      </c>
      <c r="F691" s="3" t="s">
        <v>126</v>
      </c>
      <c r="G691" s="3">
        <v>3.6447969420000002</v>
      </c>
    </row>
    <row r="692" spans="1:7" x14ac:dyDescent="0.3">
      <c r="A692" s="3" t="s">
        <v>5</v>
      </c>
      <c r="B692" s="3" t="s">
        <v>27</v>
      </c>
      <c r="C692" s="3">
        <v>6.0256410259999997</v>
      </c>
      <c r="D692" s="3">
        <v>51</v>
      </c>
      <c r="E692" s="3" t="s">
        <v>52</v>
      </c>
      <c r="F692" s="3" t="s">
        <v>126</v>
      </c>
      <c r="G692" s="3">
        <v>3.434813992</v>
      </c>
    </row>
    <row r="693" spans="1:7" x14ac:dyDescent="0.3">
      <c r="A693" s="3" t="s">
        <v>5</v>
      </c>
      <c r="B693" s="3" t="s">
        <v>27</v>
      </c>
      <c r="C693" s="3">
        <v>3.4874999999999998</v>
      </c>
      <c r="D693" s="3">
        <v>52</v>
      </c>
      <c r="E693" s="3" t="s">
        <v>52</v>
      </c>
      <c r="F693" s="3" t="s">
        <v>126</v>
      </c>
      <c r="G693" s="3">
        <v>3.3494653950000002</v>
      </c>
    </row>
    <row r="694" spans="1:7" x14ac:dyDescent="0.3">
      <c r="A694" s="3" t="s">
        <v>5</v>
      </c>
      <c r="B694" s="3" t="s">
        <v>27</v>
      </c>
      <c r="C694" s="3">
        <v>0.571428571</v>
      </c>
      <c r="D694" s="3">
        <v>53</v>
      </c>
      <c r="E694" s="3" t="s">
        <v>52</v>
      </c>
      <c r="F694" s="3" t="s">
        <v>126</v>
      </c>
      <c r="G694" s="3">
        <v>3.2414756570000001</v>
      </c>
    </row>
    <row r="695" spans="1:7" x14ac:dyDescent="0.3">
      <c r="A695" s="3" t="s">
        <v>4</v>
      </c>
      <c r="B695" s="3" t="s">
        <v>38</v>
      </c>
      <c r="C695" s="3">
        <v>0.5</v>
      </c>
      <c r="D695" s="3">
        <v>1</v>
      </c>
      <c r="E695" s="3" t="s">
        <v>54</v>
      </c>
      <c r="F695" s="3" t="s">
        <v>126</v>
      </c>
      <c r="G695" s="3">
        <v>3.2386784519999998</v>
      </c>
    </row>
    <row r="696" spans="1:7" x14ac:dyDescent="0.3">
      <c r="A696" s="3" t="s">
        <v>4</v>
      </c>
      <c r="B696" s="3" t="s">
        <v>38</v>
      </c>
      <c r="C696" s="3">
        <v>0.3</v>
      </c>
      <c r="D696" s="3">
        <v>2</v>
      </c>
      <c r="E696" s="3" t="s">
        <v>54</v>
      </c>
      <c r="F696" s="3" t="s">
        <v>126</v>
      </c>
      <c r="G696" s="3">
        <v>3.2308043959999999</v>
      </c>
    </row>
    <row r="697" spans="1:7" x14ac:dyDescent="0.3">
      <c r="A697" s="3" t="s">
        <v>4</v>
      </c>
      <c r="B697" s="3" t="s">
        <v>38</v>
      </c>
      <c r="C697" s="3">
        <v>0.23076923099999999</v>
      </c>
      <c r="D697" s="3">
        <v>3</v>
      </c>
      <c r="E697" s="3" t="s">
        <v>54</v>
      </c>
      <c r="F697" s="3" t="s">
        <v>126</v>
      </c>
      <c r="G697" s="3">
        <v>3.2280642510000002</v>
      </c>
    </row>
    <row r="698" spans="1:7" x14ac:dyDescent="0.3">
      <c r="A698" s="3" t="s">
        <v>4</v>
      </c>
      <c r="B698" s="3" t="s">
        <v>38</v>
      </c>
      <c r="C698" s="3">
        <v>-0.45</v>
      </c>
      <c r="D698" s="3">
        <v>4</v>
      </c>
      <c r="E698" s="3" t="s">
        <v>54</v>
      </c>
      <c r="F698" s="3" t="s">
        <v>126</v>
      </c>
      <c r="G698" s="3">
        <v>3.2007118540000001</v>
      </c>
    </row>
    <row r="699" spans="1:7" x14ac:dyDescent="0.3">
      <c r="A699" s="3" t="s">
        <v>4</v>
      </c>
      <c r="B699" s="3" t="s">
        <v>38</v>
      </c>
      <c r="C699" s="3">
        <v>-0.756410256</v>
      </c>
      <c r="D699" s="3">
        <v>5</v>
      </c>
      <c r="E699" s="3" t="s">
        <v>54</v>
      </c>
      <c r="F699" s="3" t="s">
        <v>126</v>
      </c>
      <c r="G699" s="3">
        <v>3.1881522420000001</v>
      </c>
    </row>
    <row r="700" spans="1:7" x14ac:dyDescent="0.3">
      <c r="A700" s="3" t="s">
        <v>4</v>
      </c>
      <c r="B700" s="3" t="s">
        <v>38</v>
      </c>
      <c r="C700" s="3">
        <v>-0.63749999999999996</v>
      </c>
      <c r="D700" s="3">
        <v>6</v>
      </c>
      <c r="E700" s="3" t="s">
        <v>54</v>
      </c>
      <c r="F700" s="3" t="s">
        <v>126</v>
      </c>
      <c r="G700" s="3">
        <v>3.1930450650000002</v>
      </c>
    </row>
    <row r="701" spans="1:7" x14ac:dyDescent="0.3">
      <c r="A701" s="3" t="s">
        <v>4</v>
      </c>
      <c r="B701" s="3" t="s">
        <v>38</v>
      </c>
      <c r="C701" s="3">
        <v>-9.7051282049999994</v>
      </c>
      <c r="D701" s="3">
        <v>7</v>
      </c>
      <c r="E701" s="3" t="s">
        <v>54</v>
      </c>
      <c r="F701" s="3" t="s">
        <v>126</v>
      </c>
      <c r="G701" s="3">
        <v>2.7275175950000001</v>
      </c>
    </row>
    <row r="702" spans="1:7" x14ac:dyDescent="0.3">
      <c r="A702" s="3" t="s">
        <v>4</v>
      </c>
      <c r="B702" s="3" t="s">
        <v>38</v>
      </c>
      <c r="C702" s="3">
        <v>-10.9375</v>
      </c>
      <c r="D702" s="3">
        <v>8</v>
      </c>
      <c r="E702" s="3" t="s">
        <v>54</v>
      </c>
      <c r="F702" s="3" t="s">
        <v>126</v>
      </c>
      <c r="G702" s="3">
        <v>2.64351168</v>
      </c>
    </row>
    <row r="703" spans="1:7" x14ac:dyDescent="0.3">
      <c r="A703" s="3" t="s">
        <v>4</v>
      </c>
      <c r="B703" s="3" t="s">
        <v>38</v>
      </c>
      <c r="C703" s="3">
        <v>4.2435897440000003</v>
      </c>
      <c r="D703" s="3">
        <v>9</v>
      </c>
      <c r="E703" s="3" t="s">
        <v>54</v>
      </c>
      <c r="F703" s="3" t="s">
        <v>126</v>
      </c>
      <c r="G703" s="3">
        <v>3.3756603959999998</v>
      </c>
    </row>
    <row r="704" spans="1:7" x14ac:dyDescent="0.3">
      <c r="A704" s="3" t="s">
        <v>4</v>
      </c>
      <c r="B704" s="3" t="s">
        <v>38</v>
      </c>
      <c r="C704" s="3">
        <v>5.9249999999999998</v>
      </c>
      <c r="D704" s="3">
        <v>10</v>
      </c>
      <c r="E704" s="3" t="s">
        <v>54</v>
      </c>
      <c r="F704" s="3" t="s">
        <v>126</v>
      </c>
      <c r="G704" s="3">
        <v>3.4315649179999999</v>
      </c>
    </row>
    <row r="705" spans="1:7" x14ac:dyDescent="0.3">
      <c r="A705" s="3" t="s">
        <v>4</v>
      </c>
      <c r="B705" s="3" t="s">
        <v>38</v>
      </c>
      <c r="C705" s="3">
        <v>12.3125</v>
      </c>
      <c r="D705" s="3">
        <v>11</v>
      </c>
      <c r="E705" s="3" t="s">
        <v>54</v>
      </c>
      <c r="F705" s="3" t="s">
        <v>126</v>
      </c>
      <c r="G705" s="3">
        <v>3.6193283909999998</v>
      </c>
    </row>
    <row r="706" spans="1:7" x14ac:dyDescent="0.3">
      <c r="A706" s="3" t="s">
        <v>4</v>
      </c>
      <c r="B706" s="3" t="s">
        <v>38</v>
      </c>
      <c r="C706" s="3">
        <v>7.615384615</v>
      </c>
      <c r="D706" s="3">
        <v>12</v>
      </c>
      <c r="E706" s="3" t="s">
        <v>54</v>
      </c>
      <c r="F706" s="3" t="s">
        <v>126</v>
      </c>
      <c r="G706" s="3">
        <v>3.484784098</v>
      </c>
    </row>
    <row r="707" spans="1:7" x14ac:dyDescent="0.3">
      <c r="A707" s="3" t="s">
        <v>4</v>
      </c>
      <c r="B707" s="3" t="s">
        <v>38</v>
      </c>
      <c r="C707" s="3">
        <v>20.217948719999999</v>
      </c>
      <c r="D707" s="3">
        <v>13</v>
      </c>
      <c r="E707" s="3" t="s">
        <v>54</v>
      </c>
      <c r="F707" s="3" t="s">
        <v>126</v>
      </c>
      <c r="G707" s="3">
        <v>3.8114941039999999</v>
      </c>
    </row>
    <row r="708" spans="1:7" x14ac:dyDescent="0.3">
      <c r="A708" s="3" t="s">
        <v>4</v>
      </c>
      <c r="B708" s="3" t="s">
        <v>38</v>
      </c>
      <c r="C708" s="3">
        <v>21.79411765</v>
      </c>
      <c r="D708" s="3">
        <v>14</v>
      </c>
      <c r="E708" s="3" t="s">
        <v>54</v>
      </c>
      <c r="F708" s="3" t="s">
        <v>126</v>
      </c>
      <c r="G708" s="3">
        <v>3.8457575039999998</v>
      </c>
    </row>
    <row r="709" spans="1:7" x14ac:dyDescent="0.3">
      <c r="A709" s="3" t="s">
        <v>4</v>
      </c>
      <c r="B709" s="3" t="s">
        <v>38</v>
      </c>
      <c r="C709" s="3">
        <v>20.2</v>
      </c>
      <c r="D709" s="3">
        <v>47</v>
      </c>
      <c r="E709" s="3" t="s">
        <v>54</v>
      </c>
      <c r="F709" s="3" t="s">
        <v>126</v>
      </c>
      <c r="G709" s="3">
        <v>3.8110970869999998</v>
      </c>
    </row>
    <row r="710" spans="1:7" x14ac:dyDescent="0.3">
      <c r="A710" s="3" t="s">
        <v>4</v>
      </c>
      <c r="B710" s="3" t="s">
        <v>38</v>
      </c>
      <c r="C710" s="3">
        <v>6.1624999999999996</v>
      </c>
      <c r="D710" s="3">
        <v>48</v>
      </c>
      <c r="E710" s="3" t="s">
        <v>54</v>
      </c>
      <c r="F710" s="3" t="s">
        <v>126</v>
      </c>
      <c r="G710" s="3">
        <v>3.4392154490000002</v>
      </c>
    </row>
    <row r="711" spans="1:7" x14ac:dyDescent="0.3">
      <c r="A711" s="3" t="s">
        <v>4</v>
      </c>
      <c r="B711" s="3" t="s">
        <v>38</v>
      </c>
      <c r="C711" s="3">
        <v>1.8333333329999999</v>
      </c>
      <c r="D711" s="3">
        <v>49</v>
      </c>
      <c r="E711" s="3" t="s">
        <v>54</v>
      </c>
      <c r="F711" s="3" t="s">
        <v>126</v>
      </c>
      <c r="G711" s="3">
        <v>3.289644896</v>
      </c>
    </row>
    <row r="712" spans="1:7" x14ac:dyDescent="0.3">
      <c r="A712" s="3" t="s">
        <v>4</v>
      </c>
      <c r="B712" s="3" t="s">
        <v>38</v>
      </c>
      <c r="C712" s="3">
        <v>6.6875</v>
      </c>
      <c r="D712" s="3">
        <v>50</v>
      </c>
      <c r="E712" s="3" t="s">
        <v>54</v>
      </c>
      <c r="F712" s="3" t="s">
        <v>126</v>
      </c>
      <c r="G712" s="3">
        <v>3.4559222809999999</v>
      </c>
    </row>
    <row r="713" spans="1:7" x14ac:dyDescent="0.3">
      <c r="A713" s="3" t="s">
        <v>4</v>
      </c>
      <c r="B713" s="3" t="s">
        <v>38</v>
      </c>
      <c r="C713" s="3">
        <v>2.7820512819999998</v>
      </c>
      <c r="D713" s="3">
        <v>51</v>
      </c>
      <c r="E713" s="3" t="s">
        <v>54</v>
      </c>
      <c r="F713" s="3" t="s">
        <v>126</v>
      </c>
      <c r="G713" s="3">
        <v>3.324390175</v>
      </c>
    </row>
    <row r="714" spans="1:7" x14ac:dyDescent="0.3">
      <c r="A714" s="3" t="s">
        <v>4</v>
      </c>
      <c r="B714" s="3" t="s">
        <v>38</v>
      </c>
      <c r="C714" s="3">
        <v>0.82499999999999996</v>
      </c>
      <c r="D714" s="3">
        <v>52</v>
      </c>
      <c r="E714" s="3" t="s">
        <v>54</v>
      </c>
      <c r="F714" s="3" t="s">
        <v>126</v>
      </c>
      <c r="G714" s="3">
        <v>3.2513430149999998</v>
      </c>
    </row>
    <row r="715" spans="1:7" x14ac:dyDescent="0.3">
      <c r="A715" s="3" t="s">
        <v>4</v>
      </c>
      <c r="B715" s="3" t="s">
        <v>38</v>
      </c>
      <c r="C715" s="3">
        <v>1.7857142999999999E-2</v>
      </c>
      <c r="D715" s="3">
        <v>53</v>
      </c>
      <c r="E715" s="3" t="s">
        <v>54</v>
      </c>
      <c r="F715" s="3" t="s">
        <v>126</v>
      </c>
      <c r="G715" s="3">
        <v>3.2195898559999998</v>
      </c>
    </row>
    <row r="716" spans="1:7" x14ac:dyDescent="0.3">
      <c r="A716" s="3" t="s">
        <v>5</v>
      </c>
      <c r="B716" s="3" t="s">
        <v>15</v>
      </c>
      <c r="C716" s="3">
        <v>1.4090909089999999</v>
      </c>
      <c r="D716" s="3">
        <v>1</v>
      </c>
      <c r="E716" s="3" t="s">
        <v>127</v>
      </c>
      <c r="F716" s="3" t="s">
        <v>126</v>
      </c>
      <c r="G716" s="3">
        <v>3.2737083029999998</v>
      </c>
    </row>
    <row r="717" spans="1:7" x14ac:dyDescent="0.3">
      <c r="A717" s="3" t="s">
        <v>5</v>
      </c>
      <c r="B717" s="3" t="s">
        <v>15</v>
      </c>
      <c r="C717" s="3">
        <v>2.1124999999999998</v>
      </c>
      <c r="D717" s="3">
        <v>2</v>
      </c>
      <c r="E717" s="3" t="s">
        <v>127</v>
      </c>
      <c r="F717" s="3" t="s">
        <v>126</v>
      </c>
      <c r="G717" s="3">
        <v>3.299994876</v>
      </c>
    </row>
    <row r="718" spans="1:7" x14ac:dyDescent="0.3">
      <c r="A718" s="3" t="s">
        <v>5</v>
      </c>
      <c r="B718" s="3" t="s">
        <v>15</v>
      </c>
      <c r="C718" s="3">
        <v>1.8589743590000001</v>
      </c>
      <c r="D718" s="3">
        <v>3</v>
      </c>
      <c r="E718" s="3" t="s">
        <v>127</v>
      </c>
      <c r="F718" s="3" t="s">
        <v>126</v>
      </c>
      <c r="G718" s="3">
        <v>3.290600006</v>
      </c>
    </row>
    <row r="719" spans="1:7" x14ac:dyDescent="0.3">
      <c r="A719" s="3" t="s">
        <v>5</v>
      </c>
      <c r="B719" s="3" t="s">
        <v>15</v>
      </c>
      <c r="C719" s="3">
        <v>0.45</v>
      </c>
      <c r="D719" s="3">
        <v>4</v>
      </c>
      <c r="E719" s="3" t="s">
        <v>127</v>
      </c>
      <c r="F719" s="3" t="s">
        <v>126</v>
      </c>
      <c r="G719" s="3">
        <v>3.236715743</v>
      </c>
    </row>
    <row r="720" spans="1:7" x14ac:dyDescent="0.3">
      <c r="A720" s="3" t="s">
        <v>5</v>
      </c>
      <c r="B720" s="3" t="s">
        <v>15</v>
      </c>
      <c r="C720" s="3">
        <v>-0.56410256400000003</v>
      </c>
      <c r="D720" s="3">
        <v>5</v>
      </c>
      <c r="E720" s="3" t="s">
        <v>127</v>
      </c>
      <c r="F720" s="3" t="s">
        <v>126</v>
      </c>
      <c r="G720" s="3">
        <v>3.1960532580000001</v>
      </c>
    </row>
    <row r="721" spans="1:7" x14ac:dyDescent="0.3">
      <c r="A721" s="3" t="s">
        <v>5</v>
      </c>
      <c r="B721" s="3" t="s">
        <v>15</v>
      </c>
      <c r="C721" s="3">
        <v>0.9375</v>
      </c>
      <c r="D721" s="3">
        <v>6</v>
      </c>
      <c r="E721" s="3" t="s">
        <v>127</v>
      </c>
      <c r="F721" s="3" t="s">
        <v>126</v>
      </c>
      <c r="G721" s="3">
        <v>3.2556897980000001</v>
      </c>
    </row>
    <row r="722" spans="1:7" x14ac:dyDescent="0.3">
      <c r="A722" s="3" t="s">
        <v>5</v>
      </c>
      <c r="B722" s="3" t="s">
        <v>15</v>
      </c>
      <c r="C722" s="3">
        <v>-7.0897435900000003</v>
      </c>
      <c r="D722" s="3">
        <v>7</v>
      </c>
      <c r="E722" s="3" t="s">
        <v>127</v>
      </c>
      <c r="F722" s="3" t="s">
        <v>126</v>
      </c>
      <c r="G722" s="3">
        <v>2.8853735330000001</v>
      </c>
    </row>
    <row r="723" spans="1:7" x14ac:dyDescent="0.3">
      <c r="A723" s="3" t="s">
        <v>5</v>
      </c>
      <c r="B723" s="3" t="s">
        <v>15</v>
      </c>
      <c r="C723" s="3">
        <v>-7.7874999999999996</v>
      </c>
      <c r="D723" s="3">
        <v>8</v>
      </c>
      <c r="E723" s="3" t="s">
        <v>127</v>
      </c>
      <c r="F723" s="3" t="s">
        <v>126</v>
      </c>
      <c r="G723" s="3">
        <v>2.8456358640000001</v>
      </c>
    </row>
    <row r="724" spans="1:7" x14ac:dyDescent="0.3">
      <c r="A724" s="3" t="s">
        <v>5</v>
      </c>
      <c r="B724" s="3" t="s">
        <v>15</v>
      </c>
      <c r="C724" s="3">
        <v>9.6025641030000006</v>
      </c>
      <c r="D724" s="3">
        <v>9</v>
      </c>
      <c r="E724" s="3" t="s">
        <v>127</v>
      </c>
      <c r="F724" s="3" t="s">
        <v>126</v>
      </c>
      <c r="G724" s="3">
        <v>3.5439277859999998</v>
      </c>
    </row>
    <row r="725" spans="1:7" x14ac:dyDescent="0.3">
      <c r="A725" s="3" t="s">
        <v>5</v>
      </c>
      <c r="B725" s="3" t="s">
        <v>15</v>
      </c>
      <c r="C725" s="3">
        <v>9.0500000000000007</v>
      </c>
      <c r="D725" s="3">
        <v>10</v>
      </c>
      <c r="E725" s="3" t="s">
        <v>127</v>
      </c>
      <c r="F725" s="3" t="s">
        <v>126</v>
      </c>
      <c r="G725" s="3">
        <v>3.5278300329999999</v>
      </c>
    </row>
    <row r="726" spans="1:7" x14ac:dyDescent="0.3">
      <c r="A726" s="3" t="s">
        <v>5</v>
      </c>
      <c r="B726" s="3" t="s">
        <v>15</v>
      </c>
      <c r="C726" s="3">
        <v>19.637499999999999</v>
      </c>
      <c r="D726" s="3">
        <v>11</v>
      </c>
      <c r="E726" s="3" t="s">
        <v>127</v>
      </c>
      <c r="F726" s="3" t="s">
        <v>126</v>
      </c>
      <c r="G726" s="3">
        <v>3.798574313</v>
      </c>
    </row>
    <row r="727" spans="1:7" x14ac:dyDescent="0.3">
      <c r="A727" s="3" t="s">
        <v>5</v>
      </c>
      <c r="B727" s="3" t="s">
        <v>15</v>
      </c>
      <c r="C727" s="3">
        <v>9.3205128209999994</v>
      </c>
      <c r="D727" s="3">
        <v>12</v>
      </c>
      <c r="E727" s="3" t="s">
        <v>127</v>
      </c>
      <c r="F727" s="3" t="s">
        <v>126</v>
      </c>
      <c r="G727" s="3">
        <v>3.5357432169999998</v>
      </c>
    </row>
    <row r="728" spans="1:7" x14ac:dyDescent="0.3">
      <c r="A728" s="3" t="s">
        <v>5</v>
      </c>
      <c r="B728" s="3" t="s">
        <v>15</v>
      </c>
      <c r="C728" s="3">
        <v>20.025641029999999</v>
      </c>
      <c r="D728" s="3">
        <v>13</v>
      </c>
      <c r="E728" s="3" t="s">
        <v>127</v>
      </c>
      <c r="F728" s="3" t="s">
        <v>126</v>
      </c>
      <c r="G728" s="3">
        <v>3.8072321279999999</v>
      </c>
    </row>
    <row r="729" spans="1:7" x14ac:dyDescent="0.3">
      <c r="A729" s="3" t="s">
        <v>5</v>
      </c>
      <c r="B729" s="3" t="s">
        <v>15</v>
      </c>
      <c r="C729" s="3">
        <v>23.79411765</v>
      </c>
      <c r="D729" s="3">
        <v>14</v>
      </c>
      <c r="E729" s="3" t="s">
        <v>127</v>
      </c>
      <c r="F729" s="3" t="s">
        <v>126</v>
      </c>
      <c r="G729" s="3">
        <v>3.8876097660000002</v>
      </c>
    </row>
    <row r="730" spans="1:7" x14ac:dyDescent="0.3">
      <c r="A730" s="3" t="s">
        <v>5</v>
      </c>
      <c r="B730" s="3" t="s">
        <v>15</v>
      </c>
      <c r="C730" s="3">
        <v>24.024999999999999</v>
      </c>
      <c r="D730" s="3">
        <v>47</v>
      </c>
      <c r="E730" s="3" t="s">
        <v>127</v>
      </c>
      <c r="F730" s="3" t="s">
        <v>126</v>
      </c>
      <c r="G730" s="3">
        <v>3.892330372</v>
      </c>
    </row>
    <row r="731" spans="1:7" x14ac:dyDescent="0.3">
      <c r="A731" s="3" t="s">
        <v>5</v>
      </c>
      <c r="B731" s="3" t="s">
        <v>15</v>
      </c>
      <c r="C731" s="3">
        <v>10.275</v>
      </c>
      <c r="D731" s="3">
        <v>48</v>
      </c>
      <c r="E731" s="3" t="s">
        <v>127</v>
      </c>
      <c r="F731" s="3" t="s">
        <v>126</v>
      </c>
      <c r="G731" s="3">
        <v>3.563174498</v>
      </c>
    </row>
    <row r="732" spans="1:7" x14ac:dyDescent="0.3">
      <c r="A732" s="3" t="s">
        <v>5</v>
      </c>
      <c r="B732" s="3" t="s">
        <v>15</v>
      </c>
      <c r="C732" s="3">
        <v>1.8205128209999999</v>
      </c>
      <c r="D732" s="3">
        <v>49</v>
      </c>
      <c r="E732" s="3" t="s">
        <v>127</v>
      </c>
      <c r="F732" s="3" t="s">
        <v>126</v>
      </c>
      <c r="G732" s="3">
        <v>3.2891669989999999</v>
      </c>
    </row>
    <row r="733" spans="1:7" x14ac:dyDescent="0.3">
      <c r="A733" s="3" t="s">
        <v>5</v>
      </c>
      <c r="B733" s="3" t="s">
        <v>15</v>
      </c>
      <c r="C733" s="3">
        <v>6.8624999999999998</v>
      </c>
      <c r="D733" s="3">
        <v>50</v>
      </c>
      <c r="E733" s="3" t="s">
        <v>127</v>
      </c>
      <c r="F733" s="3" t="s">
        <v>126</v>
      </c>
      <c r="G733" s="3">
        <v>3.4614297700000001</v>
      </c>
    </row>
    <row r="734" spans="1:7" x14ac:dyDescent="0.3">
      <c r="A734" s="3" t="s">
        <v>5</v>
      </c>
      <c r="B734" s="3" t="s">
        <v>15</v>
      </c>
      <c r="C734" s="3">
        <v>1.9871794869999999</v>
      </c>
      <c r="D734" s="3">
        <v>51</v>
      </c>
      <c r="E734" s="3" t="s">
        <v>127</v>
      </c>
      <c r="F734" s="3" t="s">
        <v>126</v>
      </c>
      <c r="G734" s="3">
        <v>3.2953619189999999</v>
      </c>
    </row>
    <row r="735" spans="1:7" x14ac:dyDescent="0.3">
      <c r="A735" s="3" t="s">
        <v>5</v>
      </c>
      <c r="B735" s="3" t="s">
        <v>15</v>
      </c>
      <c r="C735" s="3">
        <v>2.8374999999999999</v>
      </c>
      <c r="D735" s="3">
        <v>52</v>
      </c>
      <c r="E735" s="3" t="s">
        <v>127</v>
      </c>
      <c r="F735" s="3" t="s">
        <v>126</v>
      </c>
      <c r="G735" s="3">
        <v>3.3263840330000001</v>
      </c>
    </row>
    <row r="736" spans="1:7" x14ac:dyDescent="0.3">
      <c r="A736" s="3" t="s">
        <v>5</v>
      </c>
      <c r="B736" s="3" t="s">
        <v>15</v>
      </c>
      <c r="C736" s="3">
        <v>1.5892857140000001</v>
      </c>
      <c r="D736" s="3">
        <v>53</v>
      </c>
      <c r="E736" s="3" t="s">
        <v>127</v>
      </c>
      <c r="F736" s="3" t="s">
        <v>126</v>
      </c>
      <c r="G736" s="3">
        <v>3.2805083420000001</v>
      </c>
    </row>
    <row r="737" spans="1:7" x14ac:dyDescent="0.3">
      <c r="A737" s="3" t="s">
        <v>5</v>
      </c>
      <c r="B737" s="3" t="s">
        <v>12</v>
      </c>
      <c r="C737" s="3">
        <v>0.68181818199999999</v>
      </c>
      <c r="D737" s="3">
        <v>1</v>
      </c>
      <c r="E737" s="3" t="s">
        <v>127</v>
      </c>
      <c r="F737" s="3" t="s">
        <v>126</v>
      </c>
      <c r="G737" s="3">
        <v>3.2457832780000002</v>
      </c>
    </row>
    <row r="738" spans="1:7" x14ac:dyDescent="0.3">
      <c r="A738" s="3" t="s">
        <v>5</v>
      </c>
      <c r="B738" s="3" t="s">
        <v>12</v>
      </c>
      <c r="C738" s="3">
        <v>1.85</v>
      </c>
      <c r="D738" s="3">
        <v>2</v>
      </c>
      <c r="E738" s="3" t="s">
        <v>127</v>
      </c>
      <c r="F738" s="3" t="s">
        <v>126</v>
      </c>
      <c r="G738" s="3">
        <v>3.2902658210000002</v>
      </c>
    </row>
    <row r="739" spans="1:7" x14ac:dyDescent="0.3">
      <c r="A739" s="3" t="s">
        <v>5</v>
      </c>
      <c r="B739" s="3" t="s">
        <v>12</v>
      </c>
      <c r="C739" s="3">
        <v>2.153846154</v>
      </c>
      <c r="D739" s="3">
        <v>3</v>
      </c>
      <c r="E739" s="3" t="s">
        <v>127</v>
      </c>
      <c r="F739" s="3" t="s">
        <v>126</v>
      </c>
      <c r="G739" s="3">
        <v>3.3015186989999998</v>
      </c>
    </row>
    <row r="740" spans="1:7" x14ac:dyDescent="0.3">
      <c r="A740" s="3" t="s">
        <v>5</v>
      </c>
      <c r="B740" s="3" t="s">
        <v>12</v>
      </c>
      <c r="C740" s="3">
        <v>1.3125</v>
      </c>
      <c r="D740" s="3">
        <v>4</v>
      </c>
      <c r="E740" s="3" t="s">
        <v>127</v>
      </c>
      <c r="F740" s="3" t="s">
        <v>126</v>
      </c>
      <c r="G740" s="3">
        <v>3.2700441109999998</v>
      </c>
    </row>
    <row r="741" spans="1:7" x14ac:dyDescent="0.3">
      <c r="A741" s="3" t="s">
        <v>5</v>
      </c>
      <c r="B741" s="3" t="s">
        <v>12</v>
      </c>
      <c r="C741" s="3">
        <v>-0.34615384599999999</v>
      </c>
      <c r="D741" s="3">
        <v>5</v>
      </c>
      <c r="E741" s="3" t="s">
        <v>127</v>
      </c>
      <c r="F741" s="3" t="s">
        <v>126</v>
      </c>
      <c r="G741" s="3">
        <v>3.204932919</v>
      </c>
    </row>
    <row r="742" spans="1:7" x14ac:dyDescent="0.3">
      <c r="A742" s="3" t="s">
        <v>5</v>
      </c>
      <c r="B742" s="3" t="s">
        <v>12</v>
      </c>
      <c r="C742" s="3">
        <v>4.75</v>
      </c>
      <c r="D742" s="3">
        <v>6</v>
      </c>
      <c r="E742" s="3" t="s">
        <v>127</v>
      </c>
      <c r="F742" s="3" t="s">
        <v>126</v>
      </c>
      <c r="G742" s="3">
        <v>3.3928291320000001</v>
      </c>
    </row>
    <row r="743" spans="1:7" x14ac:dyDescent="0.3">
      <c r="A743" s="3" t="s">
        <v>5</v>
      </c>
      <c r="B743" s="3" t="s">
        <v>12</v>
      </c>
      <c r="C743" s="3">
        <v>-7.3717948719999997</v>
      </c>
      <c r="D743" s="3">
        <v>7</v>
      </c>
      <c r="E743" s="3" t="s">
        <v>127</v>
      </c>
      <c r="F743" s="3" t="s">
        <v>126</v>
      </c>
      <c r="G743" s="3">
        <v>2.869500183</v>
      </c>
    </row>
    <row r="744" spans="1:7" x14ac:dyDescent="0.3">
      <c r="A744" s="3" t="s">
        <v>5</v>
      </c>
      <c r="B744" s="3" t="s">
        <v>12</v>
      </c>
      <c r="C744" s="3">
        <v>-9.2750000000000004</v>
      </c>
      <c r="D744" s="3">
        <v>8</v>
      </c>
      <c r="E744" s="3" t="s">
        <v>127</v>
      </c>
      <c r="F744" s="3" t="s">
        <v>126</v>
      </c>
      <c r="G744" s="3">
        <v>2.7552518030000002</v>
      </c>
    </row>
    <row r="745" spans="1:7" x14ac:dyDescent="0.3">
      <c r="A745" s="3" t="s">
        <v>5</v>
      </c>
      <c r="B745" s="3" t="s">
        <v>12</v>
      </c>
      <c r="C745" s="3">
        <v>6.769230769</v>
      </c>
      <c r="D745" s="3">
        <v>9</v>
      </c>
      <c r="E745" s="3" t="s">
        <v>127</v>
      </c>
      <c r="F745" s="3" t="s">
        <v>126</v>
      </c>
      <c r="G745" s="3">
        <v>3.458498235</v>
      </c>
    </row>
    <row r="746" spans="1:7" x14ac:dyDescent="0.3">
      <c r="A746" s="3" t="s">
        <v>5</v>
      </c>
      <c r="B746" s="3" t="s">
        <v>12</v>
      </c>
      <c r="C746" s="3">
        <v>7.5374999999999996</v>
      </c>
      <c r="D746" s="3">
        <v>10</v>
      </c>
      <c r="E746" s="3" t="s">
        <v>127</v>
      </c>
      <c r="F746" s="3" t="s">
        <v>126</v>
      </c>
      <c r="G746" s="3">
        <v>3.4823932700000002</v>
      </c>
    </row>
    <row r="747" spans="1:7" x14ac:dyDescent="0.3">
      <c r="A747" s="3" t="s">
        <v>5</v>
      </c>
      <c r="B747" s="3" t="s">
        <v>12</v>
      </c>
      <c r="C747" s="3">
        <v>20.012499999999999</v>
      </c>
      <c r="D747" s="3">
        <v>11</v>
      </c>
      <c r="E747" s="3" t="s">
        <v>127</v>
      </c>
      <c r="F747" s="3" t="s">
        <v>126</v>
      </c>
      <c r="G747" s="3">
        <v>3.8069402289999998</v>
      </c>
    </row>
    <row r="748" spans="1:7" x14ac:dyDescent="0.3">
      <c r="A748" s="3" t="s">
        <v>5</v>
      </c>
      <c r="B748" s="3" t="s">
        <v>12</v>
      </c>
      <c r="C748" s="3">
        <v>19.435897440000002</v>
      </c>
      <c r="D748" s="3">
        <v>12</v>
      </c>
      <c r="E748" s="3" t="s">
        <v>127</v>
      </c>
      <c r="F748" s="3" t="s">
        <v>126</v>
      </c>
      <c r="G748" s="3">
        <v>3.7940476439999999</v>
      </c>
    </row>
    <row r="749" spans="1:7" x14ac:dyDescent="0.3">
      <c r="A749" s="3" t="s">
        <v>5</v>
      </c>
      <c r="B749" s="3" t="s">
        <v>12</v>
      </c>
      <c r="C749" s="3">
        <v>33.243589739999997</v>
      </c>
      <c r="D749" s="3">
        <v>13</v>
      </c>
      <c r="E749" s="3" t="s">
        <v>127</v>
      </c>
      <c r="F749" s="3" t="s">
        <v>126</v>
      </c>
      <c r="G749" s="3">
        <v>4.0646340390000004</v>
      </c>
    </row>
    <row r="750" spans="1:7" x14ac:dyDescent="0.3">
      <c r="A750" s="3" t="s">
        <v>5</v>
      </c>
      <c r="B750" s="3" t="s">
        <v>12</v>
      </c>
      <c r="C750" s="3">
        <v>33.029411760000002</v>
      </c>
      <c r="D750" s="3">
        <v>14</v>
      </c>
      <c r="E750" s="3" t="s">
        <v>127</v>
      </c>
      <c r="F750" s="3" t="s">
        <v>126</v>
      </c>
      <c r="G750" s="3">
        <v>4.0609499810000003</v>
      </c>
    </row>
    <row r="751" spans="1:7" x14ac:dyDescent="0.3">
      <c r="A751" s="3" t="s">
        <v>5</v>
      </c>
      <c r="B751" s="3" t="s">
        <v>12</v>
      </c>
      <c r="C751" s="3">
        <v>25.324999999999999</v>
      </c>
      <c r="D751" s="3">
        <v>47</v>
      </c>
      <c r="E751" s="3" t="s">
        <v>127</v>
      </c>
      <c r="F751" s="3" t="s">
        <v>126</v>
      </c>
      <c r="G751" s="3">
        <v>3.9185019720000001</v>
      </c>
    </row>
    <row r="752" spans="1:7" x14ac:dyDescent="0.3">
      <c r="A752" s="3" t="s">
        <v>5</v>
      </c>
      <c r="B752" s="3" t="s">
        <v>12</v>
      </c>
      <c r="C752" s="3">
        <v>21.862500000000001</v>
      </c>
      <c r="D752" s="3">
        <v>48</v>
      </c>
      <c r="E752" s="3" t="s">
        <v>127</v>
      </c>
      <c r="F752" s="3" t="s">
        <v>126</v>
      </c>
      <c r="G752" s="3">
        <v>3.847217782</v>
      </c>
    </row>
    <row r="753" spans="1:7" x14ac:dyDescent="0.3">
      <c r="A753" s="3" t="s">
        <v>5</v>
      </c>
      <c r="B753" s="3" t="s">
        <v>12</v>
      </c>
      <c r="C753" s="3">
        <v>6.7051282050000003</v>
      </c>
      <c r="D753" s="3">
        <v>49</v>
      </c>
      <c r="E753" s="3" t="s">
        <v>127</v>
      </c>
      <c r="F753" s="3" t="s">
        <v>126</v>
      </c>
      <c r="G753" s="3">
        <v>3.4564784409999998</v>
      </c>
    </row>
    <row r="754" spans="1:7" x14ac:dyDescent="0.3">
      <c r="A754" s="3" t="s">
        <v>5</v>
      </c>
      <c r="B754" s="3" t="s">
        <v>12</v>
      </c>
      <c r="C754" s="3">
        <v>7.5250000000000004</v>
      </c>
      <c r="D754" s="3">
        <v>50</v>
      </c>
      <c r="E754" s="3" t="s">
        <v>127</v>
      </c>
      <c r="F754" s="3" t="s">
        <v>126</v>
      </c>
      <c r="G754" s="3">
        <v>3.4820090239999999</v>
      </c>
    </row>
    <row r="755" spans="1:7" x14ac:dyDescent="0.3">
      <c r="A755" s="3" t="s">
        <v>5</v>
      </c>
      <c r="B755" s="3" t="s">
        <v>12</v>
      </c>
      <c r="C755" s="3">
        <v>2.576923077</v>
      </c>
      <c r="D755" s="3">
        <v>51</v>
      </c>
      <c r="E755" s="3" t="s">
        <v>127</v>
      </c>
      <c r="F755" s="3" t="s">
        <v>126</v>
      </c>
      <c r="G755" s="3">
        <v>3.3169793030000001</v>
      </c>
    </row>
    <row r="756" spans="1:7" x14ac:dyDescent="0.3">
      <c r="A756" s="3" t="s">
        <v>5</v>
      </c>
      <c r="B756" s="3" t="s">
        <v>12</v>
      </c>
      <c r="C756" s="3">
        <v>3.4750000000000001</v>
      </c>
      <c r="D756" s="3">
        <v>52</v>
      </c>
      <c r="E756" s="3" t="s">
        <v>127</v>
      </c>
      <c r="F756" s="3" t="s">
        <v>126</v>
      </c>
      <c r="G756" s="3">
        <v>3.3490265090000002</v>
      </c>
    </row>
    <row r="757" spans="1:7" x14ac:dyDescent="0.3">
      <c r="A757" s="3" t="s">
        <v>5</v>
      </c>
      <c r="B757" s="3" t="s">
        <v>12</v>
      </c>
      <c r="C757" s="3">
        <v>2.4285714289999998</v>
      </c>
      <c r="D757" s="3">
        <v>53</v>
      </c>
      <c r="E757" s="3" t="s">
        <v>127</v>
      </c>
      <c r="F757" s="3" t="s">
        <v>126</v>
      </c>
      <c r="G757" s="3">
        <v>3.3115852229999998</v>
      </c>
    </row>
    <row r="758" spans="1:7" x14ac:dyDescent="0.3">
      <c r="A758" s="3" t="s">
        <v>5</v>
      </c>
      <c r="B758" s="3" t="s">
        <v>32</v>
      </c>
      <c r="C758" s="3">
        <v>25.5</v>
      </c>
      <c r="D758" s="3">
        <v>1</v>
      </c>
      <c r="E758" s="3" t="s">
        <v>53</v>
      </c>
      <c r="F758" s="3" t="s">
        <v>126</v>
      </c>
      <c r="G758" s="3">
        <v>3.9219733360000002</v>
      </c>
    </row>
    <row r="759" spans="1:7" x14ac:dyDescent="0.3">
      <c r="A759" s="3" t="s">
        <v>5</v>
      </c>
      <c r="B759" s="3" t="s">
        <v>32</v>
      </c>
      <c r="C759" s="3">
        <v>27.324999999999999</v>
      </c>
      <c r="D759" s="3">
        <v>2</v>
      </c>
      <c r="E759" s="3" t="s">
        <v>53</v>
      </c>
      <c r="F759" s="3" t="s">
        <v>126</v>
      </c>
      <c r="G759" s="3">
        <v>3.9574742679999999</v>
      </c>
    </row>
    <row r="760" spans="1:7" x14ac:dyDescent="0.3">
      <c r="A760" s="3" t="s">
        <v>5</v>
      </c>
      <c r="B760" s="3" t="s">
        <v>32</v>
      </c>
      <c r="C760" s="3">
        <v>26.243589740000001</v>
      </c>
      <c r="D760" s="3">
        <v>3</v>
      </c>
      <c r="E760" s="3" t="s">
        <v>53</v>
      </c>
      <c r="F760" s="3" t="s">
        <v>126</v>
      </c>
      <c r="G760" s="3">
        <v>3.9365905319999999</v>
      </c>
    </row>
    <row r="761" spans="1:7" x14ac:dyDescent="0.3">
      <c r="A761" s="3" t="s">
        <v>5</v>
      </c>
      <c r="B761" s="3" t="s">
        <v>32</v>
      </c>
      <c r="C761" s="3">
        <v>29.625</v>
      </c>
      <c r="D761" s="3">
        <v>4</v>
      </c>
      <c r="E761" s="3" t="s">
        <v>53</v>
      </c>
      <c r="F761" s="3" t="s">
        <v>126</v>
      </c>
      <c r="G761" s="3">
        <v>4.0004916530000001</v>
      </c>
    </row>
    <row r="762" spans="1:7" x14ac:dyDescent="0.3">
      <c r="A762" s="3" t="s">
        <v>5</v>
      </c>
      <c r="B762" s="3" t="s">
        <v>32</v>
      </c>
      <c r="C762" s="3">
        <v>29.294871789999998</v>
      </c>
      <c r="D762" s="3">
        <v>5</v>
      </c>
      <c r="E762" s="3" t="s">
        <v>53</v>
      </c>
      <c r="F762" s="3" t="s">
        <v>126</v>
      </c>
      <c r="G762" s="3">
        <v>3.9944297799999999</v>
      </c>
    </row>
    <row r="763" spans="1:7" x14ac:dyDescent="0.3">
      <c r="A763" s="3" t="s">
        <v>5</v>
      </c>
      <c r="B763" s="3" t="s">
        <v>32</v>
      </c>
      <c r="C763" s="3">
        <v>32.337499999999999</v>
      </c>
      <c r="D763" s="3">
        <v>6</v>
      </c>
      <c r="E763" s="3" t="s">
        <v>53</v>
      </c>
      <c r="F763" s="3" t="s">
        <v>126</v>
      </c>
      <c r="G763" s="3">
        <v>4.0489548600000003</v>
      </c>
    </row>
    <row r="764" spans="1:7" x14ac:dyDescent="0.3">
      <c r="A764" s="3" t="s">
        <v>5</v>
      </c>
      <c r="B764" s="3" t="s">
        <v>32</v>
      </c>
      <c r="C764" s="3">
        <v>33.166666669999998</v>
      </c>
      <c r="D764" s="3">
        <v>7</v>
      </c>
      <c r="E764" s="3" t="s">
        <v>53</v>
      </c>
      <c r="F764" s="3" t="s">
        <v>126</v>
      </c>
      <c r="G764" s="3">
        <v>4.063312453</v>
      </c>
    </row>
    <row r="765" spans="1:7" x14ac:dyDescent="0.3">
      <c r="A765" s="3" t="s">
        <v>5</v>
      </c>
      <c r="B765" s="3" t="s">
        <v>32</v>
      </c>
      <c r="C765" s="3">
        <v>34.037500000000001</v>
      </c>
      <c r="D765" s="3">
        <v>8</v>
      </c>
      <c r="E765" s="3" t="s">
        <v>53</v>
      </c>
      <c r="F765" s="3" t="s">
        <v>126</v>
      </c>
      <c r="G765" s="3">
        <v>4.0781728350000002</v>
      </c>
    </row>
    <row r="766" spans="1:7" x14ac:dyDescent="0.3">
      <c r="A766" s="3" t="s">
        <v>5</v>
      </c>
      <c r="B766" s="3" t="s">
        <v>32</v>
      </c>
      <c r="C766" s="3">
        <v>34.782051279999997</v>
      </c>
      <c r="D766" s="3">
        <v>9</v>
      </c>
      <c r="E766" s="3" t="s">
        <v>53</v>
      </c>
      <c r="F766" s="3" t="s">
        <v>126</v>
      </c>
      <c r="G766" s="3">
        <v>4.0907054699999996</v>
      </c>
    </row>
    <row r="767" spans="1:7" x14ac:dyDescent="0.3">
      <c r="A767" s="3" t="s">
        <v>5</v>
      </c>
      <c r="B767" s="3" t="s">
        <v>32</v>
      </c>
      <c r="C767" s="3">
        <v>34.924999999999997</v>
      </c>
      <c r="D767" s="3">
        <v>10</v>
      </c>
      <c r="E767" s="3" t="s">
        <v>53</v>
      </c>
      <c r="F767" s="3" t="s">
        <v>126</v>
      </c>
      <c r="G767" s="3">
        <v>4.0930937800000002</v>
      </c>
    </row>
    <row r="768" spans="1:7" x14ac:dyDescent="0.3">
      <c r="A768" s="3" t="s">
        <v>5</v>
      </c>
      <c r="B768" s="3" t="s">
        <v>32</v>
      </c>
      <c r="C768" s="3">
        <v>35</v>
      </c>
      <c r="D768" s="3">
        <v>11</v>
      </c>
      <c r="E768" s="3" t="s">
        <v>53</v>
      </c>
      <c r="F768" s="3" t="s">
        <v>126</v>
      </c>
      <c r="G768" s="3">
        <v>4.0943445619999999</v>
      </c>
    </row>
    <row r="769" spans="1:7" x14ac:dyDescent="0.3">
      <c r="A769" s="3" t="s">
        <v>5</v>
      </c>
      <c r="B769" s="3" t="s">
        <v>32</v>
      </c>
      <c r="C769" s="3">
        <v>34.80769231</v>
      </c>
      <c r="D769" s="3">
        <v>12</v>
      </c>
      <c r="E769" s="3" t="s">
        <v>53</v>
      </c>
      <c r="F769" s="3" t="s">
        <v>126</v>
      </c>
      <c r="G769" s="3">
        <v>4.091134287</v>
      </c>
    </row>
    <row r="770" spans="1:7" x14ac:dyDescent="0.3">
      <c r="A770" s="3" t="s">
        <v>5</v>
      </c>
      <c r="B770" s="3" t="s">
        <v>32</v>
      </c>
      <c r="C770" s="3">
        <v>35.11538462</v>
      </c>
      <c r="D770" s="3">
        <v>13</v>
      </c>
      <c r="E770" s="3" t="s">
        <v>53</v>
      </c>
      <c r="F770" s="3" t="s">
        <v>126</v>
      </c>
      <c r="G770" s="3">
        <v>4.0962657919999996</v>
      </c>
    </row>
    <row r="771" spans="1:7" x14ac:dyDescent="0.3">
      <c r="A771" s="3" t="s">
        <v>5</v>
      </c>
      <c r="B771" s="3" t="s">
        <v>32</v>
      </c>
      <c r="C771" s="3">
        <v>33.58823529</v>
      </c>
      <c r="D771" s="3">
        <v>14</v>
      </c>
      <c r="E771" s="3" t="s">
        <v>53</v>
      </c>
      <c r="F771" s="3" t="s">
        <v>126</v>
      </c>
      <c r="G771" s="3">
        <v>4.0705339130000002</v>
      </c>
    </row>
    <row r="772" spans="1:7" x14ac:dyDescent="0.3">
      <c r="A772" s="3" t="s">
        <v>5</v>
      </c>
      <c r="B772" s="3" t="s">
        <v>32</v>
      </c>
      <c r="C772" s="3">
        <v>25.425000000000001</v>
      </c>
      <c r="D772" s="3">
        <v>47</v>
      </c>
      <c r="E772" s="3" t="s">
        <v>53</v>
      </c>
      <c r="F772" s="3" t="s">
        <v>126</v>
      </c>
      <c r="G772" s="3">
        <v>3.9204870839999999</v>
      </c>
    </row>
    <row r="773" spans="1:7" x14ac:dyDescent="0.3">
      <c r="A773" s="3" t="s">
        <v>5</v>
      </c>
      <c r="B773" s="3" t="s">
        <v>32</v>
      </c>
      <c r="C773" s="3">
        <v>33.524999999999999</v>
      </c>
      <c r="D773" s="3">
        <v>48</v>
      </c>
      <c r="E773" s="3" t="s">
        <v>53</v>
      </c>
      <c r="F773" s="3" t="s">
        <v>126</v>
      </c>
      <c r="G773" s="3">
        <v>4.0694540129999996</v>
      </c>
    </row>
    <row r="774" spans="1:7" x14ac:dyDescent="0.3">
      <c r="A774" s="3" t="s">
        <v>5</v>
      </c>
      <c r="B774" s="3" t="s">
        <v>32</v>
      </c>
      <c r="C774" s="3">
        <v>33.089743589999998</v>
      </c>
      <c r="D774" s="3">
        <v>49</v>
      </c>
      <c r="E774" s="3" t="s">
        <v>53</v>
      </c>
      <c r="F774" s="3" t="s">
        <v>126</v>
      </c>
      <c r="G774" s="3">
        <v>4.0619891179999996</v>
      </c>
    </row>
    <row r="775" spans="1:7" x14ac:dyDescent="0.3">
      <c r="A775" s="3" t="s">
        <v>5</v>
      </c>
      <c r="B775" s="3" t="s">
        <v>32</v>
      </c>
      <c r="C775" s="3">
        <v>32.975000000000001</v>
      </c>
      <c r="D775" s="3">
        <v>50</v>
      </c>
      <c r="E775" s="3" t="s">
        <v>53</v>
      </c>
      <c r="F775" s="3" t="s">
        <v>126</v>
      </c>
      <c r="G775" s="3">
        <v>4.0600118829999996</v>
      </c>
    </row>
    <row r="776" spans="1:7" x14ac:dyDescent="0.3">
      <c r="A776" s="3" t="s">
        <v>5</v>
      </c>
      <c r="B776" s="3" t="s">
        <v>32</v>
      </c>
      <c r="C776" s="3">
        <v>31.858974360000001</v>
      </c>
      <c r="D776" s="3">
        <v>51</v>
      </c>
      <c r="E776" s="3" t="s">
        <v>53</v>
      </c>
      <c r="F776" s="3" t="s">
        <v>126</v>
      </c>
      <c r="G776" s="3">
        <v>4.0405740679999997</v>
      </c>
    </row>
    <row r="777" spans="1:7" x14ac:dyDescent="0.3">
      <c r="A777" s="3" t="s">
        <v>5</v>
      </c>
      <c r="B777" s="3" t="s">
        <v>32</v>
      </c>
      <c r="C777" s="3">
        <v>30.137499999999999</v>
      </c>
      <c r="D777" s="3">
        <v>52</v>
      </c>
      <c r="E777" s="3" t="s">
        <v>53</v>
      </c>
      <c r="F777" s="3" t="s">
        <v>126</v>
      </c>
      <c r="G777" s="3">
        <v>4.0098300650000001</v>
      </c>
    </row>
    <row r="778" spans="1:7" x14ac:dyDescent="0.3">
      <c r="A778" s="3" t="s">
        <v>5</v>
      </c>
      <c r="B778" s="3" t="s">
        <v>32</v>
      </c>
      <c r="C778" s="3">
        <v>26.35714286</v>
      </c>
      <c r="D778" s="3">
        <v>53</v>
      </c>
      <c r="E778" s="3" t="s">
        <v>53</v>
      </c>
      <c r="F778" s="3" t="s">
        <v>126</v>
      </c>
      <c r="G778" s="3">
        <v>3.9388040279999998</v>
      </c>
    </row>
    <row r="779" spans="1:7" x14ac:dyDescent="0.3">
      <c r="A779" s="3" t="s">
        <v>4</v>
      </c>
      <c r="B779" s="3" t="s">
        <v>40</v>
      </c>
      <c r="C779" s="3">
        <v>26.90909091</v>
      </c>
      <c r="D779" s="3">
        <v>1</v>
      </c>
      <c r="E779" s="3" t="s">
        <v>55</v>
      </c>
      <c r="F779" s="3" t="s">
        <v>126</v>
      </c>
      <c r="G779" s="3">
        <v>3.9494939370000002</v>
      </c>
    </row>
    <row r="780" spans="1:7" x14ac:dyDescent="0.3">
      <c r="A780" s="3" t="s">
        <v>4</v>
      </c>
      <c r="B780" s="3" t="s">
        <v>40</v>
      </c>
      <c r="C780" s="3">
        <v>27.15</v>
      </c>
      <c r="D780" s="3">
        <v>2</v>
      </c>
      <c r="E780" s="3" t="s">
        <v>55</v>
      </c>
      <c r="F780" s="3" t="s">
        <v>126</v>
      </c>
      <c r="G780" s="3">
        <v>3.9541241810000001</v>
      </c>
    </row>
    <row r="781" spans="1:7" x14ac:dyDescent="0.3">
      <c r="A781" s="3" t="s">
        <v>4</v>
      </c>
      <c r="B781" s="3" t="s">
        <v>40</v>
      </c>
      <c r="C781" s="3">
        <v>26.589743590000001</v>
      </c>
      <c r="D781" s="3">
        <v>3</v>
      </c>
      <c r="E781" s="3" t="s">
        <v>55</v>
      </c>
      <c r="F781" s="3" t="s">
        <v>126</v>
      </c>
      <c r="G781" s="3">
        <v>3.9433228850000002</v>
      </c>
    </row>
    <row r="782" spans="1:7" x14ac:dyDescent="0.3">
      <c r="A782" s="3" t="s">
        <v>4</v>
      </c>
      <c r="B782" s="3" t="s">
        <v>40</v>
      </c>
      <c r="C782" s="3">
        <v>27.337499999999999</v>
      </c>
      <c r="D782" s="3">
        <v>4</v>
      </c>
      <c r="E782" s="3" t="s">
        <v>55</v>
      </c>
      <c r="F782" s="3" t="s">
        <v>126</v>
      </c>
      <c r="G782" s="3">
        <v>3.9577131310000002</v>
      </c>
    </row>
    <row r="783" spans="1:7" x14ac:dyDescent="0.3">
      <c r="A783" s="3" t="s">
        <v>4</v>
      </c>
      <c r="B783" s="3" t="s">
        <v>40</v>
      </c>
      <c r="C783" s="3">
        <v>26.912500000000001</v>
      </c>
      <c r="D783" s="3">
        <v>5</v>
      </c>
      <c r="E783" s="3" t="s">
        <v>55</v>
      </c>
      <c r="F783" s="3" t="s">
        <v>126</v>
      </c>
      <c r="G783" s="3">
        <v>3.949559609</v>
      </c>
    </row>
    <row r="784" spans="1:7" x14ac:dyDescent="0.3">
      <c r="A784" s="3" t="s">
        <v>4</v>
      </c>
      <c r="B784" s="3" t="s">
        <v>40</v>
      </c>
      <c r="C784" s="3">
        <v>28.551282050000001</v>
      </c>
      <c r="D784" s="3">
        <v>6</v>
      </c>
      <c r="E784" s="3" t="s">
        <v>55</v>
      </c>
      <c r="F784" s="3" t="s">
        <v>126</v>
      </c>
      <c r="G784" s="3">
        <v>3.9806397379999998</v>
      </c>
    </row>
    <row r="785" spans="1:7" x14ac:dyDescent="0.3">
      <c r="A785" s="3" t="s">
        <v>4</v>
      </c>
      <c r="B785" s="3" t="s">
        <v>40</v>
      </c>
      <c r="C785" s="3">
        <v>23.462499999999999</v>
      </c>
      <c r="D785" s="3">
        <v>7</v>
      </c>
      <c r="E785" s="3" t="s">
        <v>55</v>
      </c>
      <c r="F785" s="3" t="s">
        <v>126</v>
      </c>
      <c r="G785" s="3">
        <v>3.8807903029999999</v>
      </c>
    </row>
    <row r="786" spans="1:7" x14ac:dyDescent="0.3">
      <c r="A786" s="3" t="s">
        <v>4</v>
      </c>
      <c r="B786" s="3" t="s">
        <v>40</v>
      </c>
      <c r="C786" s="3">
        <v>23.30769231</v>
      </c>
      <c r="D786" s="3">
        <v>8</v>
      </c>
      <c r="E786" s="3" t="s">
        <v>55</v>
      </c>
      <c r="F786" s="3" t="s">
        <v>126</v>
      </c>
      <c r="G786" s="3">
        <v>3.877590809</v>
      </c>
    </row>
    <row r="787" spans="1:7" x14ac:dyDescent="0.3">
      <c r="A787" s="3" t="s">
        <v>4</v>
      </c>
      <c r="B787" s="3" t="s">
        <v>40</v>
      </c>
      <c r="C787" s="3">
        <v>30.675000000000001</v>
      </c>
      <c r="D787" s="3">
        <v>9</v>
      </c>
      <c r="E787" s="3" t="s">
        <v>55</v>
      </c>
      <c r="F787" s="3" t="s">
        <v>126</v>
      </c>
      <c r="G787" s="3">
        <v>4.0195312129999996</v>
      </c>
    </row>
    <row r="788" spans="1:7" x14ac:dyDescent="0.3">
      <c r="A788" s="3" t="s">
        <v>4</v>
      </c>
      <c r="B788" s="3" t="s">
        <v>40</v>
      </c>
      <c r="C788" s="3">
        <v>32.205128209999998</v>
      </c>
      <c r="D788" s="3">
        <v>10</v>
      </c>
      <c r="E788" s="3" t="s">
        <v>55</v>
      </c>
      <c r="F788" s="3" t="s">
        <v>126</v>
      </c>
      <c r="G788" s="3">
        <v>4.0466435479999996</v>
      </c>
    </row>
    <row r="789" spans="1:7" x14ac:dyDescent="0.3">
      <c r="A789" s="3" t="s">
        <v>4</v>
      </c>
      <c r="B789" s="3" t="s">
        <v>40</v>
      </c>
      <c r="C789" s="3">
        <v>34.4</v>
      </c>
      <c r="D789" s="3">
        <v>11</v>
      </c>
      <c r="E789" s="3" t="s">
        <v>55</v>
      </c>
      <c r="F789" s="3" t="s">
        <v>126</v>
      </c>
      <c r="G789" s="3">
        <v>4.0842942259999999</v>
      </c>
    </row>
    <row r="790" spans="1:7" x14ac:dyDescent="0.3">
      <c r="A790" s="3" t="s">
        <v>4</v>
      </c>
      <c r="B790" s="3" t="s">
        <v>40</v>
      </c>
      <c r="C790" s="3">
        <v>34.30769231</v>
      </c>
      <c r="D790" s="3">
        <v>12</v>
      </c>
      <c r="E790" s="3" t="s">
        <v>55</v>
      </c>
      <c r="F790" s="3" t="s">
        <v>126</v>
      </c>
      <c r="G790" s="3">
        <v>4.0827390159999997</v>
      </c>
    </row>
    <row r="791" spans="1:7" x14ac:dyDescent="0.3">
      <c r="A791" s="3" t="s">
        <v>4</v>
      </c>
      <c r="B791" s="3" t="s">
        <v>40</v>
      </c>
      <c r="C791" s="3">
        <v>35.112499999999997</v>
      </c>
      <c r="D791" s="3">
        <v>13</v>
      </c>
      <c r="E791" s="3" t="s">
        <v>55</v>
      </c>
      <c r="F791" s="3" t="s">
        <v>126</v>
      </c>
      <c r="G791" s="3">
        <v>4.0962178070000004</v>
      </c>
    </row>
    <row r="792" spans="1:7" x14ac:dyDescent="0.3">
      <c r="A792" s="3" t="s">
        <v>4</v>
      </c>
      <c r="B792" s="3" t="s">
        <v>40</v>
      </c>
      <c r="C792" s="3">
        <v>34</v>
      </c>
      <c r="D792" s="3">
        <v>14</v>
      </c>
      <c r="E792" s="3" t="s">
        <v>55</v>
      </c>
      <c r="F792" s="3" t="s">
        <v>126</v>
      </c>
      <c r="G792" s="3">
        <v>4.0775374439999998</v>
      </c>
    </row>
    <row r="793" spans="1:7" x14ac:dyDescent="0.3">
      <c r="A793" s="3" t="s">
        <v>4</v>
      </c>
      <c r="B793" s="3" t="s">
        <v>40</v>
      </c>
      <c r="C793" s="3">
        <v>25.175000000000001</v>
      </c>
      <c r="D793" s="3">
        <v>47</v>
      </c>
      <c r="E793" s="3" t="s">
        <v>55</v>
      </c>
      <c r="F793" s="3" t="s">
        <v>126</v>
      </c>
      <c r="G793" s="3">
        <v>3.9155168950000001</v>
      </c>
    </row>
    <row r="794" spans="1:7" x14ac:dyDescent="0.3">
      <c r="A794" s="3" t="s">
        <v>4</v>
      </c>
      <c r="B794" s="3" t="s">
        <v>40</v>
      </c>
      <c r="C794" s="3">
        <v>31.8</v>
      </c>
      <c r="D794" s="3">
        <v>48</v>
      </c>
      <c r="E794" s="3" t="s">
        <v>55</v>
      </c>
      <c r="F794" s="3" t="s">
        <v>126</v>
      </c>
      <c r="G794" s="3">
        <v>4.0395363260000003</v>
      </c>
    </row>
    <row r="795" spans="1:7" x14ac:dyDescent="0.3">
      <c r="A795" s="3" t="s">
        <v>4</v>
      </c>
      <c r="B795" s="3" t="s">
        <v>40</v>
      </c>
      <c r="C795" s="3">
        <v>29.794871789999998</v>
      </c>
      <c r="D795" s="3">
        <v>49</v>
      </c>
      <c r="E795" s="3" t="s">
        <v>55</v>
      </c>
      <c r="F795" s="3" t="s">
        <v>126</v>
      </c>
      <c r="G795" s="3">
        <v>4.0035966089999997</v>
      </c>
    </row>
    <row r="796" spans="1:7" x14ac:dyDescent="0.3">
      <c r="A796" s="3" t="s">
        <v>4</v>
      </c>
      <c r="B796" s="3" t="s">
        <v>40</v>
      </c>
      <c r="C796" s="3">
        <v>30.675000000000001</v>
      </c>
      <c r="D796" s="3">
        <v>50</v>
      </c>
      <c r="E796" s="3" t="s">
        <v>55</v>
      </c>
      <c r="F796" s="3" t="s">
        <v>126</v>
      </c>
      <c r="G796" s="3">
        <v>4.0195312129999996</v>
      </c>
    </row>
    <row r="797" spans="1:7" x14ac:dyDescent="0.3">
      <c r="A797" s="3" t="s">
        <v>4</v>
      </c>
      <c r="B797" s="3" t="s">
        <v>40</v>
      </c>
      <c r="C797" s="3">
        <v>28.551282050000001</v>
      </c>
      <c r="D797" s="3">
        <v>51</v>
      </c>
      <c r="E797" s="3" t="s">
        <v>55</v>
      </c>
      <c r="F797" s="3" t="s">
        <v>126</v>
      </c>
      <c r="G797" s="3">
        <v>3.9806397379999998</v>
      </c>
    </row>
    <row r="798" spans="1:7" x14ac:dyDescent="0.3">
      <c r="A798" s="3" t="s">
        <v>4</v>
      </c>
      <c r="B798" s="3" t="s">
        <v>40</v>
      </c>
      <c r="C798" s="3">
        <v>27.774999999999999</v>
      </c>
      <c r="D798" s="3">
        <v>52</v>
      </c>
      <c r="E798" s="3" t="s">
        <v>55</v>
      </c>
      <c r="F798" s="3" t="s">
        <v>126</v>
      </c>
      <c r="G798" s="3">
        <v>3.9660375939999999</v>
      </c>
    </row>
    <row r="799" spans="1:7" x14ac:dyDescent="0.3">
      <c r="A799" s="3" t="s">
        <v>4</v>
      </c>
      <c r="B799" s="3" t="s">
        <v>40</v>
      </c>
      <c r="C799" s="3">
        <v>27.375</v>
      </c>
      <c r="D799" s="3">
        <v>53</v>
      </c>
      <c r="E799" s="3" t="s">
        <v>55</v>
      </c>
      <c r="F799" s="3" t="s">
        <v>126</v>
      </c>
      <c r="G799" s="3">
        <v>3.9584293779999999</v>
      </c>
    </row>
    <row r="800" spans="1:7" x14ac:dyDescent="0.3">
      <c r="A800" s="3" t="s">
        <v>4</v>
      </c>
      <c r="B800" s="3" t="s">
        <v>26</v>
      </c>
      <c r="C800" s="3">
        <v>19.31818182</v>
      </c>
      <c r="D800" s="3">
        <v>1</v>
      </c>
      <c r="E800" s="3" t="s">
        <v>52</v>
      </c>
      <c r="F800" s="3" t="s">
        <v>126</v>
      </c>
      <c r="G800" s="3">
        <v>3.7913950179999998</v>
      </c>
    </row>
    <row r="801" spans="1:7" x14ac:dyDescent="0.3">
      <c r="A801" s="3" t="s">
        <v>4</v>
      </c>
      <c r="B801" s="3" t="s">
        <v>26</v>
      </c>
      <c r="C801" s="3">
        <v>20.7</v>
      </c>
      <c r="D801" s="3">
        <v>2</v>
      </c>
      <c r="E801" s="3" t="s">
        <v>52</v>
      </c>
      <c r="F801" s="3" t="s">
        <v>126</v>
      </c>
      <c r="G801" s="3">
        <v>3.8220982979999998</v>
      </c>
    </row>
    <row r="802" spans="1:7" x14ac:dyDescent="0.3">
      <c r="A802" s="3" t="s">
        <v>4</v>
      </c>
      <c r="B802" s="3" t="s">
        <v>26</v>
      </c>
      <c r="C802" s="3">
        <v>19.371794869999999</v>
      </c>
      <c r="D802" s="3">
        <v>3</v>
      </c>
      <c r="E802" s="3" t="s">
        <v>52</v>
      </c>
      <c r="F802" s="3" t="s">
        <v>126</v>
      </c>
      <c r="G802" s="3">
        <v>3.7926040169999999</v>
      </c>
    </row>
    <row r="803" spans="1:7" x14ac:dyDescent="0.3">
      <c r="A803" s="3" t="s">
        <v>4</v>
      </c>
      <c r="B803" s="3" t="s">
        <v>26</v>
      </c>
      <c r="C803" s="3">
        <v>16.125</v>
      </c>
      <c r="D803" s="3">
        <v>4</v>
      </c>
      <c r="E803" s="3" t="s">
        <v>52</v>
      </c>
      <c r="F803" s="3" t="s">
        <v>126</v>
      </c>
      <c r="G803" s="3">
        <v>3.7166162090000001</v>
      </c>
    </row>
    <row r="804" spans="1:7" x14ac:dyDescent="0.3">
      <c r="A804" s="3" t="s">
        <v>4</v>
      </c>
      <c r="B804" s="3" t="s">
        <v>26</v>
      </c>
      <c r="C804" s="3">
        <v>11.6025641</v>
      </c>
      <c r="D804" s="3">
        <v>5</v>
      </c>
      <c r="E804" s="3" t="s">
        <v>52</v>
      </c>
      <c r="F804" s="3" t="s">
        <v>126</v>
      </c>
      <c r="G804" s="3">
        <v>3.6001182950000001</v>
      </c>
    </row>
    <row r="805" spans="1:7" x14ac:dyDescent="0.3">
      <c r="A805" s="3" t="s">
        <v>4</v>
      </c>
      <c r="B805" s="3" t="s">
        <v>26</v>
      </c>
      <c r="C805" s="3">
        <v>10.237500000000001</v>
      </c>
      <c r="D805" s="3">
        <v>6</v>
      </c>
      <c r="E805" s="3" t="s">
        <v>52</v>
      </c>
      <c r="F805" s="3" t="s">
        <v>126</v>
      </c>
      <c r="G805" s="3">
        <v>3.5621108559999999</v>
      </c>
    </row>
    <row r="806" spans="1:7" x14ac:dyDescent="0.3">
      <c r="A806" s="3" t="s">
        <v>4</v>
      </c>
      <c r="B806" s="3" t="s">
        <v>26</v>
      </c>
      <c r="C806" s="3">
        <v>1.7179487179999999</v>
      </c>
      <c r="D806" s="3">
        <v>7</v>
      </c>
      <c r="E806" s="3" t="s">
        <v>52</v>
      </c>
      <c r="F806" s="3" t="s">
        <v>126</v>
      </c>
      <c r="G806" s="3">
        <v>3.285335576</v>
      </c>
    </row>
    <row r="807" spans="1:7" x14ac:dyDescent="0.3">
      <c r="A807" s="3" t="s">
        <v>4</v>
      </c>
      <c r="B807" s="3" t="s">
        <v>26</v>
      </c>
      <c r="C807" s="3">
        <v>-6.55</v>
      </c>
      <c r="D807" s="3">
        <v>8</v>
      </c>
      <c r="E807" s="3" t="s">
        <v>52</v>
      </c>
      <c r="F807" s="3" t="s">
        <v>126</v>
      </c>
      <c r="G807" s="3">
        <v>2.9150643700000001</v>
      </c>
    </row>
    <row r="808" spans="1:7" x14ac:dyDescent="0.3">
      <c r="A808" s="3" t="s">
        <v>4</v>
      </c>
      <c r="B808" s="3" t="s">
        <v>26</v>
      </c>
      <c r="C808" s="3">
        <v>3.884615385</v>
      </c>
      <c r="D808" s="3">
        <v>9</v>
      </c>
      <c r="E808" s="3" t="s">
        <v>52</v>
      </c>
      <c r="F808" s="3" t="s">
        <v>126</v>
      </c>
      <c r="G808" s="3">
        <v>3.3633091140000002</v>
      </c>
    </row>
    <row r="809" spans="1:7" x14ac:dyDescent="0.3">
      <c r="A809" s="3" t="s">
        <v>4</v>
      </c>
      <c r="B809" s="3" t="s">
        <v>26</v>
      </c>
      <c r="C809" s="3">
        <v>4.7750000000000004</v>
      </c>
      <c r="D809" s="3">
        <v>10</v>
      </c>
      <c r="E809" s="3" t="s">
        <v>52</v>
      </c>
      <c r="F809" s="3" t="s">
        <v>126</v>
      </c>
      <c r="G809" s="3">
        <v>3.3936691149999998</v>
      </c>
    </row>
    <row r="810" spans="1:7" x14ac:dyDescent="0.3">
      <c r="A810" s="3" t="s">
        <v>4</v>
      </c>
      <c r="B810" s="3" t="s">
        <v>26</v>
      </c>
      <c r="C810" s="3">
        <v>14.8125</v>
      </c>
      <c r="D810" s="3">
        <v>11</v>
      </c>
      <c r="E810" s="3" t="s">
        <v>52</v>
      </c>
      <c r="F810" s="3" t="s">
        <v>126</v>
      </c>
      <c r="G810" s="3">
        <v>3.6841809329999999</v>
      </c>
    </row>
    <row r="811" spans="1:7" x14ac:dyDescent="0.3">
      <c r="A811" s="3" t="s">
        <v>4</v>
      </c>
      <c r="B811" s="3" t="s">
        <v>26</v>
      </c>
      <c r="C811" s="3">
        <v>6.6666666670000003</v>
      </c>
      <c r="D811" s="3">
        <v>12</v>
      </c>
      <c r="E811" s="3" t="s">
        <v>52</v>
      </c>
      <c r="F811" s="3" t="s">
        <v>126</v>
      </c>
      <c r="G811" s="3">
        <v>3.4552646029999998</v>
      </c>
    </row>
    <row r="812" spans="1:7" x14ac:dyDescent="0.3">
      <c r="A812" s="3" t="s">
        <v>4</v>
      </c>
      <c r="B812" s="3" t="s">
        <v>26</v>
      </c>
      <c r="C812" s="3">
        <v>14.30769231</v>
      </c>
      <c r="D812" s="3">
        <v>13</v>
      </c>
      <c r="E812" s="3" t="s">
        <v>52</v>
      </c>
      <c r="F812" s="3" t="s">
        <v>126</v>
      </c>
      <c r="G812" s="3">
        <v>3.6714202330000001</v>
      </c>
    </row>
    <row r="813" spans="1:7" x14ac:dyDescent="0.3">
      <c r="A813" s="3" t="s">
        <v>4</v>
      </c>
      <c r="B813" s="3" t="s">
        <v>26</v>
      </c>
      <c r="C813" s="3">
        <v>13.41176471</v>
      </c>
      <c r="D813" s="3">
        <v>14</v>
      </c>
      <c r="E813" s="3" t="s">
        <v>52</v>
      </c>
      <c r="F813" s="3" t="s">
        <v>126</v>
      </c>
      <c r="G813" s="3">
        <v>3.6483637849999999</v>
      </c>
    </row>
    <row r="814" spans="1:7" x14ac:dyDescent="0.3">
      <c r="A814" s="3" t="s">
        <v>4</v>
      </c>
      <c r="B814" s="3" t="s">
        <v>26</v>
      </c>
      <c r="C814" s="3">
        <v>24.625</v>
      </c>
      <c r="D814" s="3">
        <v>47</v>
      </c>
      <c r="E814" s="3" t="s">
        <v>52</v>
      </c>
      <c r="F814" s="3" t="s">
        <v>126</v>
      </c>
      <c r="G814" s="3">
        <v>3.904494739</v>
      </c>
    </row>
    <row r="815" spans="1:7" x14ac:dyDescent="0.3">
      <c r="A815" s="3" t="s">
        <v>4</v>
      </c>
      <c r="B815" s="3" t="s">
        <v>26</v>
      </c>
      <c r="C815" s="3">
        <v>18.899999999999999</v>
      </c>
      <c r="D815" s="3">
        <v>48</v>
      </c>
      <c r="E815" s="3" t="s">
        <v>52</v>
      </c>
      <c r="F815" s="3" t="s">
        <v>126</v>
      </c>
      <c r="G815" s="3">
        <v>3.7819143199999998</v>
      </c>
    </row>
    <row r="816" spans="1:7" x14ac:dyDescent="0.3">
      <c r="A816" s="3" t="s">
        <v>4</v>
      </c>
      <c r="B816" s="3" t="s">
        <v>26</v>
      </c>
      <c r="C816" s="3">
        <v>15.512820509999999</v>
      </c>
      <c r="D816" s="3">
        <v>49</v>
      </c>
      <c r="E816" s="3" t="s">
        <v>52</v>
      </c>
      <c r="F816" s="3" t="s">
        <v>126</v>
      </c>
      <c r="G816" s="3">
        <v>3.70161848</v>
      </c>
    </row>
    <row r="817" spans="1:7" x14ac:dyDescent="0.3">
      <c r="A817" s="3" t="s">
        <v>4</v>
      </c>
      <c r="B817" s="3" t="s">
        <v>26</v>
      </c>
      <c r="C817" s="3">
        <v>19.912500000000001</v>
      </c>
      <c r="D817" s="3">
        <v>50</v>
      </c>
      <c r="E817" s="3" t="s">
        <v>52</v>
      </c>
      <c r="F817" s="3" t="s">
        <v>126</v>
      </c>
      <c r="G817" s="3">
        <v>3.8047161520000001</v>
      </c>
    </row>
    <row r="818" spans="1:7" x14ac:dyDescent="0.3">
      <c r="A818" s="3" t="s">
        <v>4</v>
      </c>
      <c r="B818" s="3" t="s">
        <v>26</v>
      </c>
      <c r="C818" s="3">
        <v>21.666666670000001</v>
      </c>
      <c r="D818" s="3">
        <v>51</v>
      </c>
      <c r="E818" s="3" t="s">
        <v>52</v>
      </c>
      <c r="F818" s="3" t="s">
        <v>126</v>
      </c>
      <c r="G818" s="3">
        <v>3.8430301340000002</v>
      </c>
    </row>
    <row r="819" spans="1:7" x14ac:dyDescent="0.3">
      <c r="A819" s="3" t="s">
        <v>4</v>
      </c>
      <c r="B819" s="3" t="s">
        <v>26</v>
      </c>
      <c r="C819" s="3">
        <v>20.425000000000001</v>
      </c>
      <c r="D819" s="3">
        <v>52</v>
      </c>
      <c r="E819" s="3" t="s">
        <v>52</v>
      </c>
      <c r="F819" s="3" t="s">
        <v>126</v>
      </c>
      <c r="G819" s="3">
        <v>3.8160626139999998</v>
      </c>
    </row>
    <row r="820" spans="1:7" x14ac:dyDescent="0.3">
      <c r="A820" s="3" t="s">
        <v>4</v>
      </c>
      <c r="B820" s="3" t="s">
        <v>26</v>
      </c>
      <c r="C820" s="3">
        <v>20.01785714</v>
      </c>
      <c r="D820" s="3">
        <v>53</v>
      </c>
      <c r="E820" s="3" t="s">
        <v>52</v>
      </c>
      <c r="F820" s="3" t="s">
        <v>126</v>
      </c>
      <c r="G820" s="3">
        <v>3.8070592360000002</v>
      </c>
    </row>
    <row r="821" spans="1:7" x14ac:dyDescent="0.3">
      <c r="A821" s="3" t="s">
        <v>5</v>
      </c>
      <c r="B821" s="3" t="s">
        <v>42</v>
      </c>
      <c r="C821" s="3">
        <v>4.0909090910000003</v>
      </c>
      <c r="D821" s="3">
        <v>1</v>
      </c>
      <c r="E821" s="3" t="s">
        <v>55</v>
      </c>
      <c r="F821" s="3" t="s">
        <v>126</v>
      </c>
      <c r="G821" s="3">
        <v>3.3704257229999999</v>
      </c>
    </row>
    <row r="822" spans="1:7" x14ac:dyDescent="0.3">
      <c r="A822" s="3" t="s">
        <v>5</v>
      </c>
      <c r="B822" s="3" t="s">
        <v>42</v>
      </c>
      <c r="C822" s="3">
        <v>4.9249999999999998</v>
      </c>
      <c r="D822" s="3">
        <v>2</v>
      </c>
      <c r="E822" s="3" t="s">
        <v>55</v>
      </c>
      <c r="F822" s="3" t="s">
        <v>126</v>
      </c>
      <c r="G822" s="3">
        <v>3.3986942510000002</v>
      </c>
    </row>
    <row r="823" spans="1:7" x14ac:dyDescent="0.3">
      <c r="A823" s="3" t="s">
        <v>5</v>
      </c>
      <c r="B823" s="3" t="s">
        <v>42</v>
      </c>
      <c r="C823" s="3">
        <v>2.875</v>
      </c>
      <c r="D823" s="3">
        <v>3</v>
      </c>
      <c r="E823" s="3" t="s">
        <v>55</v>
      </c>
      <c r="F823" s="3" t="s">
        <v>126</v>
      </c>
      <c r="G823" s="3">
        <v>3.3277302299999998</v>
      </c>
    </row>
    <row r="824" spans="1:7" x14ac:dyDescent="0.3">
      <c r="A824" s="3" t="s">
        <v>5</v>
      </c>
      <c r="B824" s="3" t="s">
        <v>42</v>
      </c>
      <c r="C824" s="3">
        <v>1.5</v>
      </c>
      <c r="D824" s="3">
        <v>4</v>
      </c>
      <c r="E824" s="3" t="s">
        <v>55</v>
      </c>
      <c r="F824" s="3" t="s">
        <v>126</v>
      </c>
      <c r="G824" s="3">
        <v>3.2771447330000001</v>
      </c>
    </row>
    <row r="825" spans="1:7" x14ac:dyDescent="0.3">
      <c r="A825" s="3" t="s">
        <v>5</v>
      </c>
      <c r="B825" s="3" t="s">
        <v>42</v>
      </c>
      <c r="C825" s="3">
        <v>1.4125000000000001</v>
      </c>
      <c r="D825" s="3">
        <v>5</v>
      </c>
      <c r="E825" s="3" t="s">
        <v>55</v>
      </c>
      <c r="F825" s="3" t="s">
        <v>126</v>
      </c>
      <c r="G825" s="3">
        <v>3.273837383</v>
      </c>
    </row>
    <row r="826" spans="1:7" x14ac:dyDescent="0.3">
      <c r="A826" s="3" t="s">
        <v>5</v>
      </c>
      <c r="B826" s="3" t="s">
        <v>42</v>
      </c>
      <c r="C826" s="3">
        <v>4.230769231</v>
      </c>
      <c r="D826" s="3">
        <v>6</v>
      </c>
      <c r="E826" s="3" t="s">
        <v>55</v>
      </c>
      <c r="F826" s="3" t="s">
        <v>126</v>
      </c>
      <c r="G826" s="3">
        <v>3.3752218950000001</v>
      </c>
    </row>
    <row r="827" spans="1:7" x14ac:dyDescent="0.3">
      <c r="A827" s="3" t="s">
        <v>5</v>
      </c>
      <c r="B827" s="3" t="s">
        <v>42</v>
      </c>
      <c r="C827" s="3">
        <v>-2.95</v>
      </c>
      <c r="D827" s="3">
        <v>7</v>
      </c>
      <c r="E827" s="3" t="s">
        <v>55</v>
      </c>
      <c r="F827" s="3" t="s">
        <v>126</v>
      </c>
      <c r="G827" s="3">
        <v>3.0933126020000001</v>
      </c>
    </row>
    <row r="828" spans="1:7" x14ac:dyDescent="0.3">
      <c r="A828" s="3" t="s">
        <v>5</v>
      </c>
      <c r="B828" s="3" t="s">
        <v>42</v>
      </c>
      <c r="C828" s="3">
        <v>-3.5512820509999998</v>
      </c>
      <c r="D828" s="3">
        <v>8</v>
      </c>
      <c r="E828" s="3" t="s">
        <v>55</v>
      </c>
      <c r="F828" s="3" t="s">
        <v>126</v>
      </c>
      <c r="G828" s="3">
        <v>3.0656648739999999</v>
      </c>
    </row>
    <row r="829" spans="1:7" x14ac:dyDescent="0.3">
      <c r="A829" s="3" t="s">
        <v>5</v>
      </c>
      <c r="B829" s="3" t="s">
        <v>42</v>
      </c>
      <c r="C829" s="3">
        <v>12.45</v>
      </c>
      <c r="D829" s="3">
        <v>9</v>
      </c>
      <c r="E829" s="3" t="s">
        <v>55</v>
      </c>
      <c r="F829" s="3" t="s">
        <v>126</v>
      </c>
      <c r="G829" s="3">
        <v>3.6230067099999999</v>
      </c>
    </row>
    <row r="830" spans="1:7" x14ac:dyDescent="0.3">
      <c r="A830" s="3" t="s">
        <v>5</v>
      </c>
      <c r="B830" s="3" t="s">
        <v>42</v>
      </c>
      <c r="C830" s="3">
        <v>19.051282050000001</v>
      </c>
      <c r="D830" s="3">
        <v>10</v>
      </c>
      <c r="E830" s="3" t="s">
        <v>55</v>
      </c>
      <c r="F830" s="3" t="s">
        <v>126</v>
      </c>
      <c r="G830" s="3">
        <v>3.7853544559999999</v>
      </c>
    </row>
    <row r="831" spans="1:7" x14ac:dyDescent="0.3">
      <c r="A831" s="3" t="s">
        <v>5</v>
      </c>
      <c r="B831" s="3" t="s">
        <v>42</v>
      </c>
      <c r="C831" s="3">
        <v>29.487500000000001</v>
      </c>
      <c r="D831" s="3">
        <v>11</v>
      </c>
      <c r="E831" s="3" t="s">
        <v>55</v>
      </c>
      <c r="F831" s="3" t="s">
        <v>126</v>
      </c>
      <c r="G831" s="3">
        <v>3.9979713179999998</v>
      </c>
    </row>
    <row r="832" spans="1:7" x14ac:dyDescent="0.3">
      <c r="A832" s="3" t="s">
        <v>5</v>
      </c>
      <c r="B832" s="3" t="s">
        <v>42</v>
      </c>
      <c r="C832" s="3">
        <v>31.910256409999999</v>
      </c>
      <c r="D832" s="3">
        <v>12</v>
      </c>
      <c r="E832" s="3" t="s">
        <v>55</v>
      </c>
      <c r="F832" s="3" t="s">
        <v>126</v>
      </c>
      <c r="G832" s="3">
        <v>4.041475578</v>
      </c>
    </row>
    <row r="833" spans="1:7" x14ac:dyDescent="0.3">
      <c r="A833" s="3" t="s">
        <v>5</v>
      </c>
      <c r="B833" s="3" t="s">
        <v>42</v>
      </c>
      <c r="C833" s="3">
        <v>35.299999999999997</v>
      </c>
      <c r="D833" s="3">
        <v>13</v>
      </c>
      <c r="E833" s="3" t="s">
        <v>55</v>
      </c>
      <c r="F833" s="3" t="s">
        <v>126</v>
      </c>
      <c r="G833" s="3">
        <v>4.0993321040000001</v>
      </c>
    </row>
    <row r="834" spans="1:7" x14ac:dyDescent="0.3">
      <c r="A834" s="3" t="s">
        <v>5</v>
      </c>
      <c r="B834" s="3" t="s">
        <v>42</v>
      </c>
      <c r="C834" s="3">
        <v>34</v>
      </c>
      <c r="D834" s="3">
        <v>14</v>
      </c>
      <c r="E834" s="3" t="s">
        <v>55</v>
      </c>
      <c r="F834" s="3" t="s">
        <v>126</v>
      </c>
      <c r="G834" s="3">
        <v>4.0775374439999998</v>
      </c>
    </row>
    <row r="835" spans="1:7" x14ac:dyDescent="0.3">
      <c r="A835" s="3" t="s">
        <v>5</v>
      </c>
      <c r="B835" s="3" t="s">
        <v>42</v>
      </c>
      <c r="C835" s="3">
        <v>24.824999999999999</v>
      </c>
      <c r="D835" s="3">
        <v>47</v>
      </c>
      <c r="E835" s="3" t="s">
        <v>55</v>
      </c>
      <c r="F835" s="3" t="s">
        <v>126</v>
      </c>
      <c r="G835" s="3">
        <v>3.9085168659999998</v>
      </c>
    </row>
    <row r="836" spans="1:7" x14ac:dyDescent="0.3">
      <c r="A836" s="3" t="s">
        <v>5</v>
      </c>
      <c r="B836" s="3" t="s">
        <v>42</v>
      </c>
      <c r="C836" s="3">
        <v>20.725000000000001</v>
      </c>
      <c r="D836" s="3">
        <v>48</v>
      </c>
      <c r="E836" s="3" t="s">
        <v>55</v>
      </c>
      <c r="F836" s="3" t="s">
        <v>126</v>
      </c>
      <c r="G836" s="3">
        <v>3.8226451940000001</v>
      </c>
    </row>
    <row r="837" spans="1:7" x14ac:dyDescent="0.3">
      <c r="A837" s="3" t="s">
        <v>5</v>
      </c>
      <c r="B837" s="3" t="s">
        <v>42</v>
      </c>
      <c r="C837" s="3">
        <v>17.012820510000001</v>
      </c>
      <c r="D837" s="3">
        <v>49</v>
      </c>
      <c r="E837" s="3" t="s">
        <v>55</v>
      </c>
      <c r="F837" s="3" t="s">
        <v>126</v>
      </c>
      <c r="G837" s="3">
        <v>3.737974822</v>
      </c>
    </row>
    <row r="838" spans="1:7" x14ac:dyDescent="0.3">
      <c r="A838" s="3" t="s">
        <v>5</v>
      </c>
      <c r="B838" s="3" t="s">
        <v>42</v>
      </c>
      <c r="C838" s="3">
        <v>18.100000000000001</v>
      </c>
      <c r="D838" s="3">
        <v>50</v>
      </c>
      <c r="E838" s="3" t="s">
        <v>55</v>
      </c>
      <c r="F838" s="3" t="s">
        <v>126</v>
      </c>
      <c r="G838" s="3">
        <v>3.7635229969999999</v>
      </c>
    </row>
    <row r="839" spans="1:7" x14ac:dyDescent="0.3">
      <c r="A839" s="3" t="s">
        <v>5</v>
      </c>
      <c r="B839" s="3" t="s">
        <v>42</v>
      </c>
      <c r="C839" s="3">
        <v>7.923076923</v>
      </c>
      <c r="D839" s="3">
        <v>51</v>
      </c>
      <c r="E839" s="3" t="s">
        <v>55</v>
      </c>
      <c r="F839" s="3" t="s">
        <v>126</v>
      </c>
      <c r="G839" s="3">
        <v>3.494173838</v>
      </c>
    </row>
    <row r="840" spans="1:7" x14ac:dyDescent="0.3">
      <c r="A840" s="3" t="s">
        <v>5</v>
      </c>
      <c r="B840" s="3" t="s">
        <v>42</v>
      </c>
      <c r="C840" s="3">
        <v>3.8</v>
      </c>
      <c r="D840" s="3">
        <v>52</v>
      </c>
      <c r="E840" s="3" t="s">
        <v>55</v>
      </c>
      <c r="F840" s="3" t="s">
        <v>126</v>
      </c>
      <c r="G840" s="3">
        <v>3.3603753869999999</v>
      </c>
    </row>
    <row r="841" spans="1:7" x14ac:dyDescent="0.3">
      <c r="A841" s="3" t="s">
        <v>5</v>
      </c>
      <c r="B841" s="3" t="s">
        <v>42</v>
      </c>
      <c r="C841" s="3">
        <v>1.9821428569999999</v>
      </c>
      <c r="D841" s="3">
        <v>53</v>
      </c>
      <c r="E841" s="3" t="s">
        <v>55</v>
      </c>
      <c r="F841" s="3" t="s">
        <v>126</v>
      </c>
      <c r="G841" s="3">
        <v>3.2951752719999998</v>
      </c>
    </row>
    <row r="842" spans="1:7" x14ac:dyDescent="0.3">
      <c r="A842" s="3" t="s">
        <v>4</v>
      </c>
      <c r="B842" s="3" t="s">
        <v>3</v>
      </c>
      <c r="C842" s="3">
        <v>19.954545450000001</v>
      </c>
      <c r="D842" s="3">
        <v>1</v>
      </c>
      <c r="E842" s="3" t="s">
        <v>49</v>
      </c>
      <c r="F842" s="3" t="s">
        <v>126</v>
      </c>
      <c r="G842" s="3">
        <v>3.8056518779999999</v>
      </c>
    </row>
    <row r="843" spans="1:7" x14ac:dyDescent="0.3">
      <c r="A843" s="3" t="s">
        <v>4</v>
      </c>
      <c r="B843" s="3" t="s">
        <v>3</v>
      </c>
      <c r="C843" s="3">
        <v>20.675000000000001</v>
      </c>
      <c r="D843" s="3">
        <v>2</v>
      </c>
      <c r="E843" s="3" t="s">
        <v>49</v>
      </c>
      <c r="F843" s="3" t="s">
        <v>126</v>
      </c>
      <c r="G843" s="3">
        <v>3.8215511019999999</v>
      </c>
    </row>
    <row r="844" spans="1:7" x14ac:dyDescent="0.3">
      <c r="A844" s="3" t="s">
        <v>4</v>
      </c>
      <c r="B844" s="3" t="s">
        <v>3</v>
      </c>
      <c r="C844" s="3">
        <v>19.53846154</v>
      </c>
      <c r="D844" s="3">
        <v>3</v>
      </c>
      <c r="E844" s="3" t="s">
        <v>49</v>
      </c>
      <c r="F844" s="3" t="s">
        <v>126</v>
      </c>
      <c r="G844" s="3">
        <v>3.79635312</v>
      </c>
    </row>
    <row r="845" spans="1:7" x14ac:dyDescent="0.3">
      <c r="A845" s="3" t="s">
        <v>4</v>
      </c>
      <c r="B845" s="3" t="s">
        <v>3</v>
      </c>
      <c r="C845" s="3">
        <v>14.762499999999999</v>
      </c>
      <c r="D845" s="3">
        <v>4</v>
      </c>
      <c r="E845" s="3" t="s">
        <v>49</v>
      </c>
      <c r="F845" s="3" t="s">
        <v>126</v>
      </c>
      <c r="G845" s="3">
        <v>3.6829242569999998</v>
      </c>
    </row>
    <row r="846" spans="1:7" x14ac:dyDescent="0.3">
      <c r="A846" s="3" t="s">
        <v>4</v>
      </c>
      <c r="B846" s="3" t="s">
        <v>3</v>
      </c>
      <c r="C846" s="3">
        <v>15.858974359999999</v>
      </c>
      <c r="D846" s="3">
        <v>5</v>
      </c>
      <c r="E846" s="3" t="s">
        <v>49</v>
      </c>
      <c r="F846" s="3" t="s">
        <v>126</v>
      </c>
      <c r="G846" s="3">
        <v>3.7101264879999998</v>
      </c>
    </row>
    <row r="847" spans="1:7" x14ac:dyDescent="0.3">
      <c r="A847" s="3" t="s">
        <v>4</v>
      </c>
      <c r="B847" s="3" t="s">
        <v>3</v>
      </c>
      <c r="C847" s="3">
        <v>14.675000000000001</v>
      </c>
      <c r="D847" s="3">
        <v>6</v>
      </c>
      <c r="E847" s="3" t="s">
        <v>49</v>
      </c>
      <c r="F847" s="3" t="s">
        <v>126</v>
      </c>
      <c r="G847" s="3">
        <v>3.6807212659999999</v>
      </c>
    </row>
    <row r="848" spans="1:7" x14ac:dyDescent="0.3">
      <c r="A848" s="3" t="s">
        <v>4</v>
      </c>
      <c r="B848" s="3" t="s">
        <v>3</v>
      </c>
      <c r="C848" s="3">
        <v>8.2948717950000006</v>
      </c>
      <c r="D848" s="3">
        <v>7</v>
      </c>
      <c r="E848" s="3" t="s">
        <v>49</v>
      </c>
      <c r="F848" s="3" t="s">
        <v>126</v>
      </c>
      <c r="G848" s="3">
        <v>3.5054033850000001</v>
      </c>
    </row>
    <row r="849" spans="1:7" x14ac:dyDescent="0.3">
      <c r="A849" s="3" t="s">
        <v>4</v>
      </c>
      <c r="B849" s="3" t="s">
        <v>3</v>
      </c>
      <c r="C849" s="3">
        <v>-5.0875000000000004</v>
      </c>
      <c r="D849" s="3">
        <v>8</v>
      </c>
      <c r="E849" s="3" t="s">
        <v>49</v>
      </c>
      <c r="F849" s="3" t="s">
        <v>126</v>
      </c>
      <c r="G849" s="3">
        <v>2.9913476750000001</v>
      </c>
    </row>
    <row r="850" spans="1:7" x14ac:dyDescent="0.3">
      <c r="A850" s="3" t="s">
        <v>4</v>
      </c>
      <c r="B850" s="3" t="s">
        <v>3</v>
      </c>
      <c r="C850" s="3">
        <v>7.8624999999999998</v>
      </c>
      <c r="D850" s="3">
        <v>9</v>
      </c>
      <c r="E850" s="3" t="s">
        <v>49</v>
      </c>
      <c r="F850" s="3" t="s">
        <v>126</v>
      </c>
      <c r="G850" s="3">
        <v>3.4923321899999999</v>
      </c>
    </row>
    <row r="851" spans="1:7" x14ac:dyDescent="0.3">
      <c r="A851" s="3" t="s">
        <v>4</v>
      </c>
      <c r="B851" s="3" t="s">
        <v>3</v>
      </c>
      <c r="C851" s="3">
        <v>7.2435897440000003</v>
      </c>
      <c r="D851" s="3">
        <v>10</v>
      </c>
      <c r="E851" s="3" t="s">
        <v>49</v>
      </c>
      <c r="F851" s="3" t="s">
        <v>126</v>
      </c>
      <c r="G851" s="3">
        <v>3.4733192559999999</v>
      </c>
    </row>
    <row r="852" spans="1:7" x14ac:dyDescent="0.3">
      <c r="A852" s="3" t="s">
        <v>4</v>
      </c>
      <c r="B852" s="3" t="s">
        <v>3</v>
      </c>
      <c r="C852" s="3">
        <v>19.55</v>
      </c>
      <c r="D852" s="3">
        <v>11</v>
      </c>
      <c r="E852" s="3" t="s">
        <v>49</v>
      </c>
      <c r="F852" s="3" t="s">
        <v>126</v>
      </c>
      <c r="G852" s="3">
        <v>3.796612154</v>
      </c>
    </row>
    <row r="853" spans="1:7" x14ac:dyDescent="0.3">
      <c r="A853" s="3" t="s">
        <v>4</v>
      </c>
      <c r="B853" s="3" t="s">
        <v>3</v>
      </c>
      <c r="C853" s="3">
        <v>12.11538462</v>
      </c>
      <c r="D853" s="3">
        <v>12</v>
      </c>
      <c r="E853" s="3" t="s">
        <v>49</v>
      </c>
      <c r="F853" s="3" t="s">
        <v>126</v>
      </c>
      <c r="G853" s="3">
        <v>3.6140315630000002</v>
      </c>
    </row>
    <row r="854" spans="1:7" x14ac:dyDescent="0.3">
      <c r="A854" s="3" t="s">
        <v>4</v>
      </c>
      <c r="B854" s="3" t="s">
        <v>3</v>
      </c>
      <c r="C854" s="3">
        <v>26.974358970000001</v>
      </c>
      <c r="D854" s="3">
        <v>13</v>
      </c>
      <c r="E854" s="3" t="s">
        <v>49</v>
      </c>
      <c r="F854" s="3" t="s">
        <v>126</v>
      </c>
      <c r="G854" s="3">
        <v>3.9507504999999998</v>
      </c>
    </row>
    <row r="855" spans="1:7" x14ac:dyDescent="0.3">
      <c r="A855" s="3" t="s">
        <v>4</v>
      </c>
      <c r="B855" s="3" t="s">
        <v>3</v>
      </c>
      <c r="C855" s="3">
        <v>29.764705880000001</v>
      </c>
      <c r="D855" s="3">
        <v>14</v>
      </c>
      <c r="E855" s="3" t="s">
        <v>49</v>
      </c>
      <c r="F855" s="3" t="s">
        <v>126</v>
      </c>
      <c r="G855" s="3">
        <v>4.0030459330000001</v>
      </c>
    </row>
    <row r="856" spans="1:7" x14ac:dyDescent="0.3">
      <c r="A856" s="3" t="s">
        <v>4</v>
      </c>
      <c r="B856" s="3" t="s">
        <v>3</v>
      </c>
      <c r="C856" s="3">
        <v>22.824999999999999</v>
      </c>
      <c r="D856" s="3">
        <v>47</v>
      </c>
      <c r="E856" s="3" t="s">
        <v>49</v>
      </c>
      <c r="F856" s="3" t="s">
        <v>126</v>
      </c>
      <c r="G856" s="3">
        <v>3.8675485150000002</v>
      </c>
    </row>
    <row r="857" spans="1:7" x14ac:dyDescent="0.3">
      <c r="A857" s="3" t="s">
        <v>4</v>
      </c>
      <c r="B857" s="3" t="s">
        <v>3</v>
      </c>
      <c r="C857" s="3">
        <v>18.375</v>
      </c>
      <c r="D857" s="3">
        <v>48</v>
      </c>
      <c r="E857" s="3" t="s">
        <v>49</v>
      </c>
      <c r="F857" s="3" t="s">
        <v>126</v>
      </c>
      <c r="G857" s="3">
        <v>3.7698832379999998</v>
      </c>
    </row>
    <row r="858" spans="1:7" x14ac:dyDescent="0.3">
      <c r="A858" s="3" t="s">
        <v>4</v>
      </c>
      <c r="B858" s="3" t="s">
        <v>3</v>
      </c>
      <c r="C858" s="3">
        <v>18.064102559999998</v>
      </c>
      <c r="D858" s="3">
        <v>49</v>
      </c>
      <c r="E858" s="3" t="s">
        <v>49</v>
      </c>
      <c r="F858" s="3" t="s">
        <v>126</v>
      </c>
      <c r="G858" s="3">
        <v>3.762689763</v>
      </c>
    </row>
    <row r="859" spans="1:7" x14ac:dyDescent="0.3">
      <c r="A859" s="3" t="s">
        <v>4</v>
      </c>
      <c r="B859" s="3" t="s">
        <v>3</v>
      </c>
      <c r="C859" s="3">
        <v>16.537500000000001</v>
      </c>
      <c r="D859" s="3">
        <v>50</v>
      </c>
      <c r="E859" s="3" t="s">
        <v>49</v>
      </c>
      <c r="F859" s="3" t="s">
        <v>126</v>
      </c>
      <c r="G859" s="3">
        <v>3.7265966339999999</v>
      </c>
    </row>
    <row r="860" spans="1:7" x14ac:dyDescent="0.3">
      <c r="A860" s="3" t="s">
        <v>4</v>
      </c>
      <c r="B860" s="3" t="s">
        <v>3</v>
      </c>
      <c r="C860" s="3">
        <v>17.602564099999999</v>
      </c>
      <c r="D860" s="3">
        <v>51</v>
      </c>
      <c r="E860" s="3" t="s">
        <v>49</v>
      </c>
      <c r="F860" s="3" t="s">
        <v>126</v>
      </c>
      <c r="G860" s="3">
        <v>3.7519144419999999</v>
      </c>
    </row>
    <row r="861" spans="1:7" x14ac:dyDescent="0.3">
      <c r="A861" s="3" t="s">
        <v>4</v>
      </c>
      <c r="B861" s="3" t="s">
        <v>3</v>
      </c>
      <c r="C861" s="3">
        <v>17.662500000000001</v>
      </c>
      <c r="D861" s="3">
        <v>52</v>
      </c>
      <c r="E861" s="3" t="s">
        <v>49</v>
      </c>
      <c r="F861" s="3" t="s">
        <v>126</v>
      </c>
      <c r="G861" s="3">
        <v>3.7533203140000002</v>
      </c>
    </row>
    <row r="862" spans="1:7" x14ac:dyDescent="0.3">
      <c r="A862" s="3" t="s">
        <v>4</v>
      </c>
      <c r="B862" s="3" t="s">
        <v>3</v>
      </c>
      <c r="C862" s="3">
        <v>17.25</v>
      </c>
      <c r="D862" s="3">
        <v>53</v>
      </c>
      <c r="E862" s="3" t="s">
        <v>49</v>
      </c>
      <c r="F862" s="3" t="s">
        <v>126</v>
      </c>
      <c r="G862" s="3">
        <v>3.7436043539999999</v>
      </c>
    </row>
    <row r="863" spans="1:7" x14ac:dyDescent="0.3">
      <c r="A863" s="3" t="s">
        <v>5</v>
      </c>
      <c r="B863" s="3" t="s">
        <v>128</v>
      </c>
      <c r="C863" s="3">
        <v>22.68181818</v>
      </c>
      <c r="D863" s="3">
        <v>1</v>
      </c>
      <c r="E863" s="3" t="s">
        <v>49</v>
      </c>
      <c r="F863" s="3" t="s">
        <v>126</v>
      </c>
      <c r="G863" s="3">
        <v>3.8645501549999999</v>
      </c>
    </row>
    <row r="864" spans="1:7" x14ac:dyDescent="0.3">
      <c r="A864" s="3" t="s">
        <v>5</v>
      </c>
      <c r="B864" s="3" t="s">
        <v>128</v>
      </c>
      <c r="C864" s="3">
        <v>27.5625</v>
      </c>
      <c r="D864" s="3">
        <v>2</v>
      </c>
      <c r="E864" s="3" t="s">
        <v>49</v>
      </c>
      <c r="F864" s="3" t="s">
        <v>126</v>
      </c>
      <c r="G864" s="3">
        <v>3.9620029379999999</v>
      </c>
    </row>
    <row r="865" spans="1:7" x14ac:dyDescent="0.3">
      <c r="A865" s="3" t="s">
        <v>5</v>
      </c>
      <c r="B865" s="3" t="s">
        <v>128</v>
      </c>
      <c r="C865" s="3">
        <v>27.3125</v>
      </c>
      <c r="D865" s="3">
        <v>3</v>
      </c>
      <c r="E865" s="3" t="s">
        <v>49</v>
      </c>
      <c r="F865" s="3" t="s">
        <v>126</v>
      </c>
      <c r="G865" s="3">
        <v>3.9572353480000002</v>
      </c>
    </row>
    <row r="866" spans="1:7" x14ac:dyDescent="0.3">
      <c r="A866" s="3" t="s">
        <v>5</v>
      </c>
      <c r="B866" s="3" t="s">
        <v>128</v>
      </c>
      <c r="C866" s="3">
        <v>30.589743590000001</v>
      </c>
      <c r="D866" s="3">
        <v>4</v>
      </c>
      <c r="E866" s="3" t="s">
        <v>49</v>
      </c>
      <c r="F866" s="3" t="s">
        <v>126</v>
      </c>
      <c r="G866" s="3">
        <v>4.0179987160000001</v>
      </c>
    </row>
    <row r="867" spans="1:7" x14ac:dyDescent="0.3">
      <c r="A867" s="3" t="s">
        <v>5</v>
      </c>
      <c r="B867" s="3" t="s">
        <v>128</v>
      </c>
      <c r="C867" s="3">
        <v>27.987500000000001</v>
      </c>
      <c r="D867" s="3">
        <v>5</v>
      </c>
      <c r="E867" s="3" t="s">
        <v>49</v>
      </c>
      <c r="F867" s="3" t="s">
        <v>126</v>
      </c>
      <c r="G867" s="3">
        <v>3.970056037</v>
      </c>
    </row>
    <row r="868" spans="1:7" x14ac:dyDescent="0.3">
      <c r="A868" s="3" t="s">
        <v>5</v>
      </c>
      <c r="B868" s="3" t="s">
        <v>128</v>
      </c>
      <c r="C868" s="3">
        <v>29.679487179999999</v>
      </c>
      <c r="D868" s="3">
        <v>6</v>
      </c>
      <c r="E868" s="3" t="s">
        <v>49</v>
      </c>
      <c r="F868" s="3" t="s">
        <v>126</v>
      </c>
      <c r="G868" s="3">
        <v>4.0014886330000001</v>
      </c>
    </row>
    <row r="869" spans="1:7" x14ac:dyDescent="0.3">
      <c r="A869" s="3" t="s">
        <v>5</v>
      </c>
      <c r="B869" s="3" t="s">
        <v>128</v>
      </c>
      <c r="C869" s="3">
        <v>11.025</v>
      </c>
      <c r="D869" s="3">
        <v>7</v>
      </c>
      <c r="E869" s="3" t="s">
        <v>49</v>
      </c>
      <c r="F869" s="3" t="s">
        <v>126</v>
      </c>
      <c r="G869" s="3">
        <v>3.5842131419999999</v>
      </c>
    </row>
    <row r="870" spans="1:7" x14ac:dyDescent="0.3">
      <c r="A870" s="3" t="s">
        <v>5</v>
      </c>
      <c r="B870" s="3" t="s">
        <v>128</v>
      </c>
      <c r="C870" s="3">
        <v>-2.7564102560000001</v>
      </c>
      <c r="D870" s="3">
        <v>8</v>
      </c>
      <c r="E870" s="3" t="s">
        <v>49</v>
      </c>
      <c r="F870" s="3" t="s">
        <v>126</v>
      </c>
      <c r="G870" s="3">
        <v>3.1020538659999999</v>
      </c>
    </row>
    <row r="871" spans="1:7" x14ac:dyDescent="0.3">
      <c r="A871" s="3" t="s">
        <v>5</v>
      </c>
      <c r="B871" s="3" t="s">
        <v>128</v>
      </c>
      <c r="C871" s="3">
        <v>17.2</v>
      </c>
      <c r="D871" s="3">
        <v>9</v>
      </c>
      <c r="E871" s="3" t="s">
        <v>49</v>
      </c>
      <c r="F871" s="3" t="s">
        <v>126</v>
      </c>
      <c r="G871" s="3">
        <v>3.7424202210000002</v>
      </c>
    </row>
    <row r="872" spans="1:7" x14ac:dyDescent="0.3">
      <c r="A872" s="3" t="s">
        <v>5</v>
      </c>
      <c r="B872" s="3" t="s">
        <v>128</v>
      </c>
      <c r="C872" s="3">
        <v>17.92307692</v>
      </c>
      <c r="D872" s="3">
        <v>10</v>
      </c>
      <c r="E872" s="3" t="s">
        <v>49</v>
      </c>
      <c r="F872" s="3" t="s">
        <v>126</v>
      </c>
      <c r="G872" s="3">
        <v>3.7594096050000001</v>
      </c>
    </row>
    <row r="873" spans="1:7" x14ac:dyDescent="0.3">
      <c r="A873" s="3" t="s">
        <v>5</v>
      </c>
      <c r="B873" s="3" t="s">
        <v>128</v>
      </c>
      <c r="C873" s="3">
        <v>28.3</v>
      </c>
      <c r="D873" s="3">
        <v>11</v>
      </c>
      <c r="E873" s="3" t="s">
        <v>49</v>
      </c>
      <c r="F873" s="3" t="s">
        <v>126</v>
      </c>
      <c r="G873" s="3">
        <v>3.9759363310000002</v>
      </c>
    </row>
    <row r="874" spans="1:7" x14ac:dyDescent="0.3">
      <c r="A874" s="3" t="s">
        <v>5</v>
      </c>
      <c r="B874" s="3" t="s">
        <v>128</v>
      </c>
      <c r="C874" s="3">
        <v>21.435897440000002</v>
      </c>
      <c r="D874" s="3">
        <v>12</v>
      </c>
      <c r="E874" s="3" t="s">
        <v>49</v>
      </c>
      <c r="F874" s="3" t="s">
        <v>126</v>
      </c>
      <c r="G874" s="3">
        <v>3.8380728120000001</v>
      </c>
    </row>
    <row r="875" spans="1:7" x14ac:dyDescent="0.3">
      <c r="A875" s="3" t="s">
        <v>5</v>
      </c>
      <c r="B875" s="3" t="s">
        <v>128</v>
      </c>
      <c r="C875" s="3">
        <v>34.924999999999997</v>
      </c>
      <c r="D875" s="3">
        <v>13</v>
      </c>
      <c r="E875" s="3" t="s">
        <v>49</v>
      </c>
      <c r="F875" s="3" t="s">
        <v>126</v>
      </c>
      <c r="G875" s="3">
        <v>4.0930937800000002</v>
      </c>
    </row>
    <row r="876" spans="1:7" x14ac:dyDescent="0.3">
      <c r="A876" s="3" t="s">
        <v>5</v>
      </c>
      <c r="B876" s="3" t="s">
        <v>128</v>
      </c>
      <c r="C876" s="3">
        <v>33.147058819999998</v>
      </c>
      <c r="D876" s="3">
        <v>14</v>
      </c>
      <c r="E876" s="3" t="s">
        <v>49</v>
      </c>
      <c r="F876" s="3" t="s">
        <v>126</v>
      </c>
      <c r="G876" s="3">
        <v>4.0629752979999996</v>
      </c>
    </row>
    <row r="877" spans="1:7" x14ac:dyDescent="0.3">
      <c r="A877" s="3" t="s">
        <v>5</v>
      </c>
      <c r="B877" s="3" t="s">
        <v>128</v>
      </c>
      <c r="C877" s="3">
        <v>25.274999999999999</v>
      </c>
      <c r="D877" s="3">
        <v>47</v>
      </c>
      <c r="E877" s="3" t="s">
        <v>49</v>
      </c>
      <c r="F877" s="3" t="s">
        <v>126</v>
      </c>
      <c r="G877" s="3">
        <v>3.9175079359999998</v>
      </c>
    </row>
    <row r="878" spans="1:7" x14ac:dyDescent="0.3">
      <c r="A878" s="3" t="s">
        <v>5</v>
      </c>
      <c r="B878" s="3" t="s">
        <v>128</v>
      </c>
      <c r="C878" s="3">
        <v>22.7</v>
      </c>
      <c r="D878" s="3">
        <v>48</v>
      </c>
      <c r="E878" s="3" t="s">
        <v>49</v>
      </c>
      <c r="F878" s="3" t="s">
        <v>126</v>
      </c>
      <c r="G878" s="3">
        <v>3.864931398</v>
      </c>
    </row>
    <row r="879" spans="1:7" x14ac:dyDescent="0.3">
      <c r="A879" s="3" t="s">
        <v>5</v>
      </c>
      <c r="B879" s="3" t="s">
        <v>128</v>
      </c>
      <c r="C879" s="3">
        <v>25.435897440000002</v>
      </c>
      <c r="D879" s="3">
        <v>49</v>
      </c>
      <c r="E879" s="3" t="s">
        <v>49</v>
      </c>
      <c r="F879" s="3" t="s">
        <v>126</v>
      </c>
      <c r="G879" s="3">
        <v>3.9207031720000001</v>
      </c>
    </row>
    <row r="880" spans="1:7" x14ac:dyDescent="0.3">
      <c r="A880" s="3" t="s">
        <v>5</v>
      </c>
      <c r="B880" s="3" t="s">
        <v>128</v>
      </c>
      <c r="C880" s="3">
        <v>24.6875</v>
      </c>
      <c r="D880" s="3">
        <v>50</v>
      </c>
      <c r="E880" s="3" t="s">
        <v>49</v>
      </c>
      <c r="F880" s="3" t="s">
        <v>126</v>
      </c>
      <c r="G880" s="3">
        <v>3.9057533919999998</v>
      </c>
    </row>
    <row r="881" spans="1:7" x14ac:dyDescent="0.3">
      <c r="A881" s="3" t="s">
        <v>5</v>
      </c>
      <c r="B881" s="3" t="s">
        <v>128</v>
      </c>
      <c r="C881" s="3">
        <v>26.089743590000001</v>
      </c>
      <c r="D881" s="3">
        <v>51</v>
      </c>
      <c r="E881" s="3" t="s">
        <v>49</v>
      </c>
      <c r="F881" s="3" t="s">
        <v>126</v>
      </c>
      <c r="G881" s="3">
        <v>3.9335837649999998</v>
      </c>
    </row>
    <row r="882" spans="1:7" x14ac:dyDescent="0.3">
      <c r="A882" s="3" t="s">
        <v>5</v>
      </c>
      <c r="B882" s="3" t="s">
        <v>128</v>
      </c>
      <c r="C882" s="3">
        <v>22.6</v>
      </c>
      <c r="D882" s="3">
        <v>52</v>
      </c>
      <c r="E882" s="3" t="s">
        <v>49</v>
      </c>
      <c r="F882" s="3" t="s">
        <v>126</v>
      </c>
      <c r="G882" s="3">
        <v>3.8628327609999999</v>
      </c>
    </row>
    <row r="883" spans="1:7" x14ac:dyDescent="0.3">
      <c r="A883" s="3" t="s">
        <v>5</v>
      </c>
      <c r="B883" s="3" t="s">
        <v>128</v>
      </c>
      <c r="C883" s="3">
        <v>22.696428569999998</v>
      </c>
      <c r="D883" s="3">
        <v>53</v>
      </c>
      <c r="E883" s="3" t="s">
        <v>49</v>
      </c>
      <c r="F883" s="3" t="s">
        <v>126</v>
      </c>
      <c r="G883" s="3">
        <v>3.8648565220000002</v>
      </c>
    </row>
    <row r="884" spans="1:7" x14ac:dyDescent="0.3">
      <c r="A884" s="3" t="s">
        <v>10</v>
      </c>
      <c r="B884" s="3" t="s">
        <v>129</v>
      </c>
      <c r="C884" s="3">
        <v>9.0909090999999997E-2</v>
      </c>
      <c r="D884" s="3">
        <v>1</v>
      </c>
      <c r="E884" s="3" t="s">
        <v>127</v>
      </c>
      <c r="F884" s="3" t="s">
        <v>129</v>
      </c>
      <c r="G884" s="3">
        <v>3.2225055930000002</v>
      </c>
    </row>
    <row r="885" spans="1:7" x14ac:dyDescent="0.3">
      <c r="A885" s="3" t="s">
        <v>10</v>
      </c>
      <c r="B885" s="3" t="s">
        <v>129</v>
      </c>
      <c r="C885" s="3">
        <v>0.25</v>
      </c>
      <c r="D885" s="3">
        <v>2</v>
      </c>
      <c r="E885" s="3" t="s">
        <v>127</v>
      </c>
      <c r="F885" s="3" t="s">
        <v>129</v>
      </c>
      <c r="G885" s="3">
        <v>3.2288261559999998</v>
      </c>
    </row>
    <row r="886" spans="1:7" x14ac:dyDescent="0.3">
      <c r="A886" s="3" t="s">
        <v>10</v>
      </c>
      <c r="B886" s="3" t="s">
        <v>129</v>
      </c>
      <c r="C886" s="3">
        <v>0.179487179</v>
      </c>
      <c r="D886" s="3">
        <v>3</v>
      </c>
      <c r="E886" s="3" t="s">
        <v>127</v>
      </c>
      <c r="F886" s="3" t="s">
        <v>129</v>
      </c>
      <c r="G886" s="3">
        <v>3.2260296620000002</v>
      </c>
    </row>
    <row r="887" spans="1:7" x14ac:dyDescent="0.3">
      <c r="A887" s="3" t="s">
        <v>10</v>
      </c>
      <c r="B887" s="3" t="s">
        <v>129</v>
      </c>
      <c r="C887" s="3">
        <v>-1.5125</v>
      </c>
      <c r="D887" s="3">
        <v>4</v>
      </c>
      <c r="E887" s="3" t="s">
        <v>127</v>
      </c>
      <c r="F887" s="3" t="s">
        <v>129</v>
      </c>
      <c r="G887" s="3">
        <v>3.1564683649999998</v>
      </c>
    </row>
    <row r="888" spans="1:7" x14ac:dyDescent="0.3">
      <c r="A888" s="3" t="s">
        <v>10</v>
      </c>
      <c r="B888" s="3" t="s">
        <v>129</v>
      </c>
      <c r="C888" s="3">
        <v>-1.730769231</v>
      </c>
      <c r="D888" s="3">
        <v>5</v>
      </c>
      <c r="E888" s="3" t="s">
        <v>127</v>
      </c>
      <c r="F888" s="3" t="s">
        <v>129</v>
      </c>
      <c r="G888" s="3">
        <v>3.1471319200000001</v>
      </c>
    </row>
    <row r="889" spans="1:7" x14ac:dyDescent="0.3">
      <c r="A889" s="3" t="s">
        <v>10</v>
      </c>
      <c r="B889" s="3" t="s">
        <v>129</v>
      </c>
      <c r="C889" s="3">
        <v>-2.4375</v>
      </c>
      <c r="D889" s="3">
        <v>6</v>
      </c>
      <c r="E889" s="3" t="s">
        <v>127</v>
      </c>
      <c r="F889" s="3" t="s">
        <v>129</v>
      </c>
      <c r="G889" s="3">
        <v>3.1162892360000001</v>
      </c>
    </row>
    <row r="890" spans="1:7" x14ac:dyDescent="0.3">
      <c r="A890" s="3" t="s">
        <v>10</v>
      </c>
      <c r="B890" s="3" t="s">
        <v>129</v>
      </c>
      <c r="C890" s="3">
        <v>-8.7435897439999994</v>
      </c>
      <c r="D890" s="3">
        <v>7</v>
      </c>
      <c r="E890" s="3" t="s">
        <v>127</v>
      </c>
      <c r="F890" s="3" t="s">
        <v>129</v>
      </c>
      <c r="G890" s="3">
        <v>2.7884873080000001</v>
      </c>
    </row>
    <row r="891" spans="1:7" x14ac:dyDescent="0.3">
      <c r="A891" s="3" t="s">
        <v>10</v>
      </c>
      <c r="B891" s="3" t="s">
        <v>129</v>
      </c>
      <c r="C891" s="3">
        <v>-8.35</v>
      </c>
      <c r="D891" s="3">
        <v>8</v>
      </c>
      <c r="E891" s="3" t="s">
        <v>127</v>
      </c>
      <c r="F891" s="3" t="s">
        <v>129</v>
      </c>
      <c r="G891" s="3">
        <v>2.812410216</v>
      </c>
    </row>
    <row r="892" spans="1:7" x14ac:dyDescent="0.3">
      <c r="A892" s="3" t="s">
        <v>10</v>
      </c>
      <c r="B892" s="3" t="s">
        <v>129</v>
      </c>
      <c r="C892" s="3">
        <v>1.7375</v>
      </c>
      <c r="D892" s="3">
        <v>9</v>
      </c>
      <c r="E892" s="3" t="s">
        <v>127</v>
      </c>
      <c r="F892" s="3" t="s">
        <v>129</v>
      </c>
      <c r="G892" s="3">
        <v>3.286067074</v>
      </c>
    </row>
    <row r="893" spans="1:7" x14ac:dyDescent="0.3">
      <c r="A893" s="3" t="s">
        <v>10</v>
      </c>
      <c r="B893" s="3" t="s">
        <v>129</v>
      </c>
      <c r="C893" s="3">
        <v>2.576923077</v>
      </c>
      <c r="D893" s="3">
        <v>10</v>
      </c>
      <c r="E893" s="3" t="s">
        <v>127</v>
      </c>
      <c r="F893" s="3" t="s">
        <v>129</v>
      </c>
      <c r="G893" s="3">
        <v>3.3169793030000001</v>
      </c>
    </row>
    <row r="894" spans="1:7" x14ac:dyDescent="0.3">
      <c r="A894" s="3" t="s">
        <v>10</v>
      </c>
      <c r="B894" s="3" t="s">
        <v>129</v>
      </c>
      <c r="C894" s="3">
        <v>9.2874999999999996</v>
      </c>
      <c r="D894" s="3">
        <v>11</v>
      </c>
      <c r="E894" s="3" t="s">
        <v>127</v>
      </c>
      <c r="F894" s="3" t="s">
        <v>129</v>
      </c>
      <c r="G894" s="3">
        <v>3.5347808559999998</v>
      </c>
    </row>
    <row r="895" spans="1:7" x14ac:dyDescent="0.3">
      <c r="A895" s="3" t="s">
        <v>10</v>
      </c>
      <c r="B895" s="3" t="s">
        <v>129</v>
      </c>
      <c r="C895" s="3">
        <v>4.846153846</v>
      </c>
      <c r="D895" s="3">
        <v>12</v>
      </c>
      <c r="E895" s="3" t="s">
        <v>127</v>
      </c>
      <c r="F895" s="3" t="s">
        <v>129</v>
      </c>
      <c r="G895" s="3">
        <v>3.396055982</v>
      </c>
    </row>
    <row r="896" spans="1:7" x14ac:dyDescent="0.3">
      <c r="A896" s="3" t="s">
        <v>10</v>
      </c>
      <c r="B896" s="3" t="s">
        <v>129</v>
      </c>
      <c r="C896" s="3">
        <v>11.20512821</v>
      </c>
      <c r="D896" s="3">
        <v>13</v>
      </c>
      <c r="E896" s="3" t="s">
        <v>127</v>
      </c>
      <c r="F896" s="3" t="s">
        <v>129</v>
      </c>
      <c r="G896" s="3">
        <v>3.5892007719999999</v>
      </c>
    </row>
    <row r="897" spans="1:7" x14ac:dyDescent="0.3">
      <c r="A897" s="3" t="s">
        <v>10</v>
      </c>
      <c r="B897" s="3" t="s">
        <v>129</v>
      </c>
      <c r="C897" s="3">
        <v>11.264705879999999</v>
      </c>
      <c r="D897" s="3">
        <v>14</v>
      </c>
      <c r="E897" s="3" t="s">
        <v>127</v>
      </c>
      <c r="F897" s="3" t="s">
        <v>129</v>
      </c>
      <c r="G897" s="3">
        <v>3.5908449779999998</v>
      </c>
    </row>
    <row r="898" spans="1:7" x14ac:dyDescent="0.3">
      <c r="A898" s="3" t="s">
        <v>10</v>
      </c>
      <c r="B898" s="3" t="s">
        <v>129</v>
      </c>
      <c r="C898" s="3">
        <v>16.600000000000001</v>
      </c>
      <c r="D898" s="3">
        <v>47</v>
      </c>
      <c r="E898" s="3" t="s">
        <v>127</v>
      </c>
      <c r="F898" s="3" t="s">
        <v>129</v>
      </c>
      <c r="G898" s="3">
        <v>3.728100167</v>
      </c>
    </row>
    <row r="899" spans="1:7" x14ac:dyDescent="0.3">
      <c r="A899" s="3" t="s">
        <v>10</v>
      </c>
      <c r="B899" s="3" t="s">
        <v>129</v>
      </c>
      <c r="C899" s="3">
        <v>5.7625000000000002</v>
      </c>
      <c r="D899" s="3">
        <v>48</v>
      </c>
      <c r="E899" s="3" t="s">
        <v>127</v>
      </c>
      <c r="F899" s="3" t="s">
        <v>129</v>
      </c>
      <c r="G899" s="3">
        <v>3.426296416</v>
      </c>
    </row>
    <row r="900" spans="1:7" x14ac:dyDescent="0.3">
      <c r="A900" s="3" t="s">
        <v>10</v>
      </c>
      <c r="B900" s="3" t="s">
        <v>129</v>
      </c>
      <c r="C900" s="3">
        <v>0.14102564100000001</v>
      </c>
      <c r="D900" s="3">
        <v>49</v>
      </c>
      <c r="E900" s="3" t="s">
        <v>127</v>
      </c>
      <c r="F900" s="3" t="s">
        <v>129</v>
      </c>
      <c r="G900" s="3">
        <v>3.2245010000000001</v>
      </c>
    </row>
    <row r="901" spans="1:7" x14ac:dyDescent="0.3">
      <c r="A901" s="3" t="s">
        <v>10</v>
      </c>
      <c r="B901" s="3" t="s">
        <v>129</v>
      </c>
      <c r="C901" s="3">
        <v>4.05</v>
      </c>
      <c r="D901" s="3">
        <v>50</v>
      </c>
      <c r="E901" s="3" t="s">
        <v>127</v>
      </c>
      <c r="F901" s="3" t="s">
        <v>129</v>
      </c>
      <c r="G901" s="3">
        <v>3.3690184830000001</v>
      </c>
    </row>
    <row r="902" spans="1:7" x14ac:dyDescent="0.3">
      <c r="A902" s="3" t="s">
        <v>10</v>
      </c>
      <c r="B902" s="3" t="s">
        <v>129</v>
      </c>
      <c r="C902" s="3">
        <v>0.26923076899999998</v>
      </c>
      <c r="D902" s="3">
        <v>51</v>
      </c>
      <c r="E902" s="3" t="s">
        <v>127</v>
      </c>
      <c r="F902" s="3" t="s">
        <v>129</v>
      </c>
      <c r="G902" s="3">
        <v>3.2295874800000002</v>
      </c>
    </row>
    <row r="903" spans="1:7" x14ac:dyDescent="0.3">
      <c r="A903" s="3" t="s">
        <v>10</v>
      </c>
      <c r="B903" s="3" t="s">
        <v>129</v>
      </c>
      <c r="C903" s="3">
        <v>0.125</v>
      </c>
      <c r="D903" s="3">
        <v>52</v>
      </c>
      <c r="E903" s="3" t="s">
        <v>127</v>
      </c>
      <c r="F903" s="3" t="s">
        <v>129</v>
      </c>
      <c r="G903" s="3">
        <v>3.2238633659999998</v>
      </c>
    </row>
    <row r="904" spans="1:7" x14ac:dyDescent="0.3">
      <c r="A904" s="3" t="s">
        <v>10</v>
      </c>
      <c r="B904" s="3" t="s">
        <v>129</v>
      </c>
      <c r="C904" s="3">
        <v>-0.10714285699999999</v>
      </c>
      <c r="D904" s="3">
        <v>53</v>
      </c>
      <c r="E904" s="3" t="s">
        <v>127</v>
      </c>
      <c r="F904" s="3" t="s">
        <v>129</v>
      </c>
      <c r="G904" s="3">
        <v>3.2145809010000002</v>
      </c>
    </row>
    <row r="905" spans="1:7" x14ac:dyDescent="0.3">
      <c r="A905" s="3" t="s">
        <v>10</v>
      </c>
      <c r="B905" s="3" t="s">
        <v>129</v>
      </c>
      <c r="C905" s="3">
        <v>-0.27272727299999999</v>
      </c>
      <c r="D905" s="3">
        <v>1</v>
      </c>
      <c r="E905" s="3" t="s">
        <v>54</v>
      </c>
      <c r="F905" s="3" t="s">
        <v>129</v>
      </c>
      <c r="G905" s="3">
        <v>3.2079067929999998</v>
      </c>
    </row>
    <row r="906" spans="1:7" x14ac:dyDescent="0.3">
      <c r="A906" s="3" t="s">
        <v>10</v>
      </c>
      <c r="B906" s="3" t="s">
        <v>129</v>
      </c>
      <c r="C906" s="3">
        <v>-0.15</v>
      </c>
      <c r="D906" s="3">
        <v>2</v>
      </c>
      <c r="E906" s="3" t="s">
        <v>54</v>
      </c>
      <c r="F906" s="3" t="s">
        <v>129</v>
      </c>
      <c r="G906" s="3">
        <v>3.2128577530000002</v>
      </c>
    </row>
    <row r="907" spans="1:7" x14ac:dyDescent="0.3">
      <c r="A907" s="3" t="s">
        <v>10</v>
      </c>
      <c r="B907" s="3" t="s">
        <v>129</v>
      </c>
      <c r="C907" s="3">
        <v>-0.179487179</v>
      </c>
      <c r="D907" s="3">
        <v>3</v>
      </c>
      <c r="E907" s="3" t="s">
        <v>54</v>
      </c>
      <c r="F907" s="3" t="s">
        <v>129</v>
      </c>
      <c r="G907" s="3">
        <v>3.2116704409999999</v>
      </c>
    </row>
    <row r="908" spans="1:7" x14ac:dyDescent="0.3">
      <c r="A908" s="3" t="s">
        <v>10</v>
      </c>
      <c r="B908" s="3" t="s">
        <v>129</v>
      </c>
      <c r="C908" s="3">
        <v>-1.3</v>
      </c>
      <c r="D908" s="3">
        <v>4</v>
      </c>
      <c r="E908" s="3" t="s">
        <v>54</v>
      </c>
      <c r="F908" s="3" t="s">
        <v>129</v>
      </c>
      <c r="G908" s="3">
        <v>3.1654750479999998</v>
      </c>
    </row>
    <row r="909" spans="1:7" x14ac:dyDescent="0.3">
      <c r="A909" s="3" t="s">
        <v>10</v>
      </c>
      <c r="B909" s="3" t="s">
        <v>129</v>
      </c>
      <c r="C909" s="3">
        <v>-1.5897435900000001</v>
      </c>
      <c r="D909" s="3">
        <v>5</v>
      </c>
      <c r="E909" s="3" t="s">
        <v>54</v>
      </c>
      <c r="F909" s="3" t="s">
        <v>129</v>
      </c>
      <c r="G909" s="3">
        <v>3.1531742340000002</v>
      </c>
    </row>
    <row r="910" spans="1:7" x14ac:dyDescent="0.3">
      <c r="A910" s="3" t="s">
        <v>10</v>
      </c>
      <c r="B910" s="3" t="s">
        <v>129</v>
      </c>
      <c r="C910" s="3">
        <v>-2.1625000000000001</v>
      </c>
      <c r="D910" s="3">
        <v>6</v>
      </c>
      <c r="E910" s="3" t="s">
        <v>54</v>
      </c>
      <c r="F910" s="3" t="s">
        <v>129</v>
      </c>
      <c r="G910" s="3">
        <v>3.1284039219999999</v>
      </c>
    </row>
    <row r="911" spans="1:7" x14ac:dyDescent="0.3">
      <c r="A911" s="3" t="s">
        <v>10</v>
      </c>
      <c r="B911" s="3" t="s">
        <v>129</v>
      </c>
      <c r="C911" s="3">
        <v>-8.5641025640000006</v>
      </c>
      <c r="D911" s="3">
        <v>7</v>
      </c>
      <c r="E911" s="3" t="s">
        <v>54</v>
      </c>
      <c r="F911" s="3" t="s">
        <v>129</v>
      </c>
      <c r="G911" s="3">
        <v>2.799467811</v>
      </c>
    </row>
    <row r="912" spans="1:7" x14ac:dyDescent="0.3">
      <c r="A912" s="3" t="s">
        <v>10</v>
      </c>
      <c r="B912" s="3" t="s">
        <v>129</v>
      </c>
      <c r="C912" s="3">
        <v>-9.2375000000000007</v>
      </c>
      <c r="D912" s="3">
        <v>8</v>
      </c>
      <c r="E912" s="3" t="s">
        <v>54</v>
      </c>
      <c r="F912" s="3" t="s">
        <v>129</v>
      </c>
      <c r="G912" s="3">
        <v>2.757633701</v>
      </c>
    </row>
    <row r="913" spans="1:7" x14ac:dyDescent="0.3">
      <c r="A913" s="3" t="s">
        <v>10</v>
      </c>
      <c r="B913" s="3" t="s">
        <v>129</v>
      </c>
      <c r="C913" s="3">
        <v>3.884615385</v>
      </c>
      <c r="D913" s="3">
        <v>9</v>
      </c>
      <c r="E913" s="3" t="s">
        <v>54</v>
      </c>
      <c r="F913" s="3" t="s">
        <v>129</v>
      </c>
      <c r="G913" s="3">
        <v>3.3633091140000002</v>
      </c>
    </row>
    <row r="914" spans="1:7" x14ac:dyDescent="0.3">
      <c r="A914" s="3" t="s">
        <v>10</v>
      </c>
      <c r="B914" s="3" t="s">
        <v>129</v>
      </c>
      <c r="C914" s="3">
        <v>5.55</v>
      </c>
      <c r="D914" s="3">
        <v>10</v>
      </c>
      <c r="E914" s="3" t="s">
        <v>54</v>
      </c>
      <c r="F914" s="3" t="s">
        <v>129</v>
      </c>
      <c r="G914" s="3">
        <v>3.4193646860000002</v>
      </c>
    </row>
    <row r="915" spans="1:7" x14ac:dyDescent="0.3">
      <c r="A915" s="3" t="s">
        <v>10</v>
      </c>
      <c r="B915" s="3" t="s">
        <v>129</v>
      </c>
      <c r="C915" s="3">
        <v>10.8125</v>
      </c>
      <c r="D915" s="3">
        <v>11</v>
      </c>
      <c r="E915" s="3" t="s">
        <v>54</v>
      </c>
      <c r="F915" s="3" t="s">
        <v>129</v>
      </c>
      <c r="G915" s="3">
        <v>3.578296994</v>
      </c>
    </row>
    <row r="916" spans="1:7" x14ac:dyDescent="0.3">
      <c r="A916" s="3" t="s">
        <v>10</v>
      </c>
      <c r="B916" s="3" t="s">
        <v>129</v>
      </c>
      <c r="C916" s="3">
        <v>5.6410256409999997</v>
      </c>
      <c r="D916" s="3">
        <v>12</v>
      </c>
      <c r="E916" s="3" t="s">
        <v>54</v>
      </c>
      <c r="F916" s="3" t="s">
        <v>129</v>
      </c>
      <c r="G916" s="3">
        <v>3.4223398180000002</v>
      </c>
    </row>
    <row r="917" spans="1:7" x14ac:dyDescent="0.3">
      <c r="A917" s="3" t="s">
        <v>10</v>
      </c>
      <c r="B917" s="3" t="s">
        <v>129</v>
      </c>
      <c r="C917" s="3">
        <v>11.5</v>
      </c>
      <c r="D917" s="3">
        <v>13</v>
      </c>
      <c r="E917" s="3" t="s">
        <v>54</v>
      </c>
      <c r="F917" s="3" t="s">
        <v>129</v>
      </c>
      <c r="G917" s="3">
        <v>3.5973122609999999</v>
      </c>
    </row>
    <row r="918" spans="1:7" x14ac:dyDescent="0.3">
      <c r="A918" s="3" t="s">
        <v>10</v>
      </c>
      <c r="B918" s="3" t="s">
        <v>129</v>
      </c>
      <c r="C918" s="3">
        <v>10.382352940000001</v>
      </c>
      <c r="D918" s="3">
        <v>14</v>
      </c>
      <c r="E918" s="3" t="s">
        <v>54</v>
      </c>
      <c r="F918" s="3" t="s">
        <v>129</v>
      </c>
      <c r="G918" s="3">
        <v>3.5662131910000001</v>
      </c>
    </row>
    <row r="919" spans="1:7" x14ac:dyDescent="0.3">
      <c r="A919" s="3" t="s">
        <v>10</v>
      </c>
      <c r="B919" s="3" t="s">
        <v>129</v>
      </c>
      <c r="C919" s="3">
        <v>16.75</v>
      </c>
      <c r="D919" s="3">
        <v>47</v>
      </c>
      <c r="E919" s="3" t="s">
        <v>54</v>
      </c>
      <c r="F919" s="3" t="s">
        <v>129</v>
      </c>
      <c r="G919" s="3">
        <v>3.7316994509999999</v>
      </c>
    </row>
    <row r="920" spans="1:7" x14ac:dyDescent="0.3">
      <c r="A920" s="3" t="s">
        <v>10</v>
      </c>
      <c r="B920" s="3" t="s">
        <v>129</v>
      </c>
      <c r="C920" s="3">
        <v>5.875</v>
      </c>
      <c r="D920" s="3">
        <v>48</v>
      </c>
      <c r="E920" s="3" t="s">
        <v>54</v>
      </c>
      <c r="F920" s="3" t="s">
        <v>129</v>
      </c>
      <c r="G920" s="3">
        <v>3.4299467950000002</v>
      </c>
    </row>
    <row r="921" spans="1:7" x14ac:dyDescent="0.3">
      <c r="A921" s="3" t="s">
        <v>10</v>
      </c>
      <c r="B921" s="3" t="s">
        <v>129</v>
      </c>
      <c r="C921" s="3">
        <v>1.9487179489999999</v>
      </c>
      <c r="D921" s="3">
        <v>49</v>
      </c>
      <c r="E921" s="3" t="s">
        <v>54</v>
      </c>
      <c r="F921" s="3" t="s">
        <v>129</v>
      </c>
      <c r="G921" s="3">
        <v>3.2939357249999999</v>
      </c>
    </row>
    <row r="922" spans="1:7" x14ac:dyDescent="0.3">
      <c r="A922" s="3" t="s">
        <v>10</v>
      </c>
      <c r="B922" s="3" t="s">
        <v>129</v>
      </c>
      <c r="C922" s="3">
        <v>4.6500000000000004</v>
      </c>
      <c r="D922" s="3">
        <v>50</v>
      </c>
      <c r="E922" s="3" t="s">
        <v>54</v>
      </c>
      <c r="F922" s="3" t="s">
        <v>129</v>
      </c>
      <c r="G922" s="3">
        <v>3.3894621250000001</v>
      </c>
    </row>
    <row r="923" spans="1:7" x14ac:dyDescent="0.3">
      <c r="A923" s="3" t="s">
        <v>10</v>
      </c>
      <c r="B923" s="3" t="s">
        <v>129</v>
      </c>
      <c r="C923" s="3">
        <v>0.243589744</v>
      </c>
      <c r="D923" s="3">
        <v>51</v>
      </c>
      <c r="E923" s="3" t="s">
        <v>54</v>
      </c>
      <c r="F923" s="3" t="s">
        <v>129</v>
      </c>
      <c r="G923" s="3">
        <v>3.2285722520000002</v>
      </c>
    </row>
    <row r="924" spans="1:7" x14ac:dyDescent="0.3">
      <c r="A924" s="3" t="s">
        <v>10</v>
      </c>
      <c r="B924" s="3" t="s">
        <v>129</v>
      </c>
      <c r="C924" s="3">
        <v>-0.05</v>
      </c>
      <c r="D924" s="3">
        <v>52</v>
      </c>
      <c r="E924" s="3" t="s">
        <v>54</v>
      </c>
      <c r="F924" s="3" t="s">
        <v>129</v>
      </c>
      <c r="G924" s="3">
        <v>3.2168738220000002</v>
      </c>
    </row>
    <row r="925" spans="1:7" x14ac:dyDescent="0.3">
      <c r="A925" s="3" t="s">
        <v>10</v>
      </c>
      <c r="B925" s="3" t="s">
        <v>129</v>
      </c>
      <c r="C925" s="3">
        <v>-0.78571428600000004</v>
      </c>
      <c r="D925" s="3">
        <v>53</v>
      </c>
      <c r="E925" s="3" t="s">
        <v>54</v>
      </c>
      <c r="F925" s="3" t="s">
        <v>129</v>
      </c>
      <c r="G925" s="3">
        <v>3.1869427780000001</v>
      </c>
    </row>
    <row r="926" spans="1:7" x14ac:dyDescent="0.3">
      <c r="A926" s="3" t="s">
        <v>10</v>
      </c>
      <c r="B926" s="3" t="s">
        <v>129</v>
      </c>
      <c r="C926" s="3">
        <v>0</v>
      </c>
      <c r="D926" s="3">
        <v>1</v>
      </c>
      <c r="E926" s="3" t="s">
        <v>53</v>
      </c>
      <c r="F926" s="3" t="s">
        <v>129</v>
      </c>
      <c r="G926" s="3">
        <v>3.218875825</v>
      </c>
    </row>
    <row r="927" spans="1:7" x14ac:dyDescent="0.3">
      <c r="A927" s="3" t="s">
        <v>10</v>
      </c>
      <c r="B927" s="3" t="s">
        <v>129</v>
      </c>
      <c r="C927" s="3">
        <v>0.4</v>
      </c>
      <c r="D927" s="3">
        <v>2</v>
      </c>
      <c r="E927" s="3" t="s">
        <v>53</v>
      </c>
      <c r="F927" s="3" t="s">
        <v>129</v>
      </c>
      <c r="G927" s="3">
        <v>3.2347491740000001</v>
      </c>
    </row>
    <row r="928" spans="1:7" x14ac:dyDescent="0.3">
      <c r="A928" s="3" t="s">
        <v>10</v>
      </c>
      <c r="B928" s="3" t="s">
        <v>129</v>
      </c>
      <c r="C928" s="3">
        <v>0.23749999999999999</v>
      </c>
      <c r="D928" s="3">
        <v>3</v>
      </c>
      <c r="E928" s="3" t="s">
        <v>53</v>
      </c>
      <c r="F928" s="3" t="s">
        <v>129</v>
      </c>
      <c r="G928" s="3">
        <v>3.2283309839999998</v>
      </c>
    </row>
    <row r="929" spans="1:7" x14ac:dyDescent="0.3">
      <c r="A929" s="3" t="s">
        <v>10</v>
      </c>
      <c r="B929" s="3" t="s">
        <v>129</v>
      </c>
      <c r="C929" s="3">
        <v>-0.58974358999999998</v>
      </c>
      <c r="D929" s="3">
        <v>4</v>
      </c>
      <c r="E929" s="3" t="s">
        <v>53</v>
      </c>
      <c r="F929" s="3" t="s">
        <v>129</v>
      </c>
      <c r="G929" s="3">
        <v>3.195003389</v>
      </c>
    </row>
    <row r="930" spans="1:7" x14ac:dyDescent="0.3">
      <c r="A930" s="3" t="s">
        <v>10</v>
      </c>
      <c r="B930" s="3" t="s">
        <v>129</v>
      </c>
      <c r="C930" s="3">
        <v>-1.1499999999999999</v>
      </c>
      <c r="D930" s="3">
        <v>5</v>
      </c>
      <c r="E930" s="3" t="s">
        <v>53</v>
      </c>
      <c r="F930" s="3" t="s">
        <v>129</v>
      </c>
      <c r="G930" s="3">
        <v>3.1717842169999999</v>
      </c>
    </row>
    <row r="931" spans="1:7" x14ac:dyDescent="0.3">
      <c r="A931" s="3" t="s">
        <v>10</v>
      </c>
      <c r="B931" s="3" t="s">
        <v>129</v>
      </c>
      <c r="C931" s="3">
        <v>-1.961538462</v>
      </c>
      <c r="D931" s="3">
        <v>6</v>
      </c>
      <c r="E931" s="3" t="s">
        <v>53</v>
      </c>
      <c r="F931" s="3" t="s">
        <v>129</v>
      </c>
      <c r="G931" s="3">
        <v>3.1371650600000001</v>
      </c>
    </row>
    <row r="932" spans="1:7" x14ac:dyDescent="0.3">
      <c r="A932" s="3" t="s">
        <v>10</v>
      </c>
      <c r="B932" s="3" t="s">
        <v>129</v>
      </c>
      <c r="C932" s="3">
        <v>-7.8875000000000002</v>
      </c>
      <c r="D932" s="3">
        <v>7</v>
      </c>
      <c r="E932" s="3" t="s">
        <v>53</v>
      </c>
      <c r="F932" s="3" t="s">
        <v>129</v>
      </c>
      <c r="G932" s="3">
        <v>2.8398091910000001</v>
      </c>
    </row>
    <row r="933" spans="1:7" x14ac:dyDescent="0.3">
      <c r="A933" s="3" t="s">
        <v>10</v>
      </c>
      <c r="B933" s="3" t="s">
        <v>129</v>
      </c>
      <c r="C933" s="3">
        <v>-7.7435897440000003</v>
      </c>
      <c r="D933" s="3">
        <v>8</v>
      </c>
      <c r="E933" s="3" t="s">
        <v>53</v>
      </c>
      <c r="F933" s="3" t="s">
        <v>129</v>
      </c>
      <c r="G933" s="3">
        <v>2.8481836829999998</v>
      </c>
    </row>
    <row r="934" spans="1:7" x14ac:dyDescent="0.3">
      <c r="A934" s="3" t="s">
        <v>10</v>
      </c>
      <c r="B934" s="3" t="s">
        <v>129</v>
      </c>
      <c r="C934" s="3">
        <v>3.3125</v>
      </c>
      <c r="D934" s="3">
        <v>9</v>
      </c>
      <c r="E934" s="3" t="s">
        <v>53</v>
      </c>
      <c r="F934" s="3" t="s">
        <v>129</v>
      </c>
      <c r="G934" s="3">
        <v>3.3433034030000002</v>
      </c>
    </row>
    <row r="935" spans="1:7" x14ac:dyDescent="0.3">
      <c r="A935" s="3" t="s">
        <v>10</v>
      </c>
      <c r="B935" s="3" t="s">
        <v>129</v>
      </c>
      <c r="C935" s="3">
        <v>4.730769231</v>
      </c>
      <c r="D935" s="3">
        <v>10</v>
      </c>
      <c r="E935" s="3" t="s">
        <v>53</v>
      </c>
      <c r="F935" s="3" t="s">
        <v>129</v>
      </c>
      <c r="G935" s="3">
        <v>3.3921825110000001</v>
      </c>
    </row>
    <row r="936" spans="1:7" x14ac:dyDescent="0.3">
      <c r="A936" s="3" t="s">
        <v>10</v>
      </c>
      <c r="B936" s="3" t="s">
        <v>129</v>
      </c>
      <c r="C936" s="3">
        <v>10.4125</v>
      </c>
      <c r="D936" s="3">
        <v>11</v>
      </c>
      <c r="E936" s="3" t="s">
        <v>53</v>
      </c>
      <c r="F936" s="3" t="s">
        <v>129</v>
      </c>
      <c r="G936" s="3">
        <v>3.5670648649999999</v>
      </c>
    </row>
    <row r="937" spans="1:7" x14ac:dyDescent="0.3">
      <c r="A937" s="3" t="s">
        <v>10</v>
      </c>
      <c r="B937" s="3" t="s">
        <v>129</v>
      </c>
      <c r="C937" s="3">
        <v>5.7051282050000003</v>
      </c>
      <c r="D937" s="3">
        <v>12</v>
      </c>
      <c r="E937" s="3" t="s">
        <v>53</v>
      </c>
      <c r="F937" s="3" t="s">
        <v>129</v>
      </c>
      <c r="G937" s="3">
        <v>3.4244296830000001</v>
      </c>
    </row>
    <row r="938" spans="1:7" x14ac:dyDescent="0.3">
      <c r="A938" s="3" t="s">
        <v>10</v>
      </c>
      <c r="B938" s="3" t="s">
        <v>129</v>
      </c>
      <c r="C938" s="3">
        <v>12.137499999999999</v>
      </c>
      <c r="D938" s="3">
        <v>13</v>
      </c>
      <c r="E938" s="3" t="s">
        <v>53</v>
      </c>
      <c r="F938" s="3" t="s">
        <v>129</v>
      </c>
      <c r="G938" s="3">
        <v>3.614627241</v>
      </c>
    </row>
    <row r="939" spans="1:7" x14ac:dyDescent="0.3">
      <c r="A939" s="3" t="s">
        <v>10</v>
      </c>
      <c r="B939" s="3" t="s">
        <v>129</v>
      </c>
      <c r="C939" s="3">
        <v>11.91176471</v>
      </c>
      <c r="D939" s="3">
        <v>14</v>
      </c>
      <c r="E939" s="3" t="s">
        <v>53</v>
      </c>
      <c r="F939" s="3" t="s">
        <v>129</v>
      </c>
      <c r="G939" s="3">
        <v>3.608530327</v>
      </c>
    </row>
    <row r="940" spans="1:7" x14ac:dyDescent="0.3">
      <c r="A940" s="3" t="s">
        <v>10</v>
      </c>
      <c r="B940" s="3" t="s">
        <v>129</v>
      </c>
      <c r="C940" s="3">
        <v>21.75</v>
      </c>
      <c r="D940" s="3">
        <v>47</v>
      </c>
      <c r="E940" s="3" t="s">
        <v>53</v>
      </c>
      <c r="F940" s="3" t="s">
        <v>129</v>
      </c>
      <c r="G940" s="3">
        <v>3.8448142559999998</v>
      </c>
    </row>
    <row r="941" spans="1:7" x14ac:dyDescent="0.3">
      <c r="A941" s="3" t="s">
        <v>10</v>
      </c>
      <c r="B941" s="3" t="s">
        <v>129</v>
      </c>
      <c r="C941" s="3">
        <v>21.774999999999999</v>
      </c>
      <c r="D941" s="3">
        <v>48</v>
      </c>
      <c r="E941" s="3" t="s">
        <v>53</v>
      </c>
      <c r="F941" s="3" t="s">
        <v>129</v>
      </c>
      <c r="G941" s="3">
        <v>3.8453488720000002</v>
      </c>
    </row>
    <row r="942" spans="1:7" x14ac:dyDescent="0.3">
      <c r="A942" s="3" t="s">
        <v>10</v>
      </c>
      <c r="B942" s="3" t="s">
        <v>129</v>
      </c>
      <c r="C942" s="3">
        <v>11.62820513</v>
      </c>
      <c r="D942" s="3">
        <v>49</v>
      </c>
      <c r="E942" s="3" t="s">
        <v>53</v>
      </c>
      <c r="F942" s="3" t="s">
        <v>129</v>
      </c>
      <c r="G942" s="3">
        <v>3.600818576</v>
      </c>
    </row>
    <row r="943" spans="1:7" x14ac:dyDescent="0.3">
      <c r="A943" s="3" t="s">
        <v>10</v>
      </c>
      <c r="B943" s="3" t="s">
        <v>129</v>
      </c>
      <c r="C943" s="3">
        <v>4.9749999999999996</v>
      </c>
      <c r="D943" s="3">
        <v>50</v>
      </c>
      <c r="E943" s="3" t="s">
        <v>53</v>
      </c>
      <c r="F943" s="3" t="s">
        <v>129</v>
      </c>
      <c r="G943" s="3">
        <v>3.4003637009999998</v>
      </c>
    </row>
    <row r="944" spans="1:7" x14ac:dyDescent="0.3">
      <c r="A944" s="3" t="s">
        <v>10</v>
      </c>
      <c r="B944" s="3" t="s">
        <v>129</v>
      </c>
      <c r="C944" s="3">
        <v>0.57692307700000001</v>
      </c>
      <c r="D944" s="3">
        <v>51</v>
      </c>
      <c r="E944" s="3" t="s">
        <v>53</v>
      </c>
      <c r="F944" s="3" t="s">
        <v>129</v>
      </c>
      <c r="G944" s="3">
        <v>3.2416905030000001</v>
      </c>
    </row>
    <row r="945" spans="1:7" x14ac:dyDescent="0.3">
      <c r="A945" s="3" t="s">
        <v>10</v>
      </c>
      <c r="B945" s="3" t="s">
        <v>129</v>
      </c>
      <c r="C945" s="3">
        <v>0.47499999999999998</v>
      </c>
      <c r="D945" s="3">
        <v>52</v>
      </c>
      <c r="E945" s="3" t="s">
        <v>53</v>
      </c>
      <c r="F945" s="3" t="s">
        <v>129</v>
      </c>
      <c r="G945" s="3">
        <v>3.2376975790000002</v>
      </c>
    </row>
    <row r="946" spans="1:7" x14ac:dyDescent="0.3">
      <c r="A946" s="3" t="s">
        <v>10</v>
      </c>
      <c r="B946" s="3" t="s">
        <v>129</v>
      </c>
      <c r="C946" s="3">
        <v>-0.23214285700000001</v>
      </c>
      <c r="D946" s="3">
        <v>53</v>
      </c>
      <c r="E946" s="3" t="s">
        <v>53</v>
      </c>
      <c r="F946" s="3" t="s">
        <v>129</v>
      </c>
      <c r="G946" s="3">
        <v>3.20954673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9EC1-2C70-4A87-A46F-FF11B0B0220F}">
  <dimension ref="A1:E43"/>
  <sheetViews>
    <sheetView tabSelected="1" workbookViewId="0">
      <selection activeCell="K12" sqref="K12"/>
    </sheetView>
  </sheetViews>
  <sheetFormatPr defaultRowHeight="14.4" x14ac:dyDescent="0.3"/>
  <cols>
    <col min="5" max="5" width="17" bestFit="1" customWidth="1"/>
  </cols>
  <sheetData>
    <row r="1" spans="1:5" x14ac:dyDescent="0.3">
      <c r="A1" s="1" t="s">
        <v>103</v>
      </c>
      <c r="B1" s="1" t="s">
        <v>114</v>
      </c>
      <c r="C1" s="1" t="s">
        <v>115</v>
      </c>
      <c r="D1" s="1" t="s">
        <v>116</v>
      </c>
      <c r="E1" s="1" t="s">
        <v>117</v>
      </c>
    </row>
    <row r="2" spans="1:5" x14ac:dyDescent="0.3">
      <c r="A2" s="1">
        <v>40</v>
      </c>
      <c r="B2" s="1">
        <v>30</v>
      </c>
      <c r="C2" s="1">
        <v>27.2</v>
      </c>
      <c r="D2" s="1">
        <v>57.2</v>
      </c>
      <c r="E2" s="1">
        <v>68.2</v>
      </c>
    </row>
    <row r="3" spans="1:5" x14ac:dyDescent="0.3">
      <c r="A3" s="1">
        <v>9</v>
      </c>
      <c r="B3" s="1">
        <v>22.8</v>
      </c>
      <c r="C3" s="1">
        <v>25</v>
      </c>
      <c r="D3" s="1">
        <v>47.8</v>
      </c>
      <c r="E3" s="1">
        <v>59.55</v>
      </c>
    </row>
    <row r="4" spans="1:5" x14ac:dyDescent="0.3">
      <c r="A4" s="1">
        <v>43</v>
      </c>
      <c r="B4" s="1">
        <v>16.8</v>
      </c>
      <c r="C4" s="1">
        <v>18.600000000000001</v>
      </c>
      <c r="D4" s="1">
        <v>35.400000000000006</v>
      </c>
      <c r="E4" s="1">
        <v>40.5</v>
      </c>
    </row>
    <row r="5" spans="1:5" x14ac:dyDescent="0.3">
      <c r="A5" s="1">
        <v>2</v>
      </c>
      <c r="B5" s="1">
        <v>17.2</v>
      </c>
      <c r="C5" s="1">
        <v>18.600000000000001</v>
      </c>
      <c r="D5" s="1">
        <v>35.799999999999997</v>
      </c>
      <c r="E5" s="1">
        <v>38.36</v>
      </c>
    </row>
    <row r="6" spans="1:5" x14ac:dyDescent="0.3">
      <c r="A6" s="1">
        <v>27</v>
      </c>
      <c r="B6" s="1">
        <v>23.6</v>
      </c>
      <c r="C6" s="1">
        <v>29</v>
      </c>
      <c r="D6" s="1">
        <v>52.6</v>
      </c>
      <c r="E6" s="1">
        <v>64.400000000000006</v>
      </c>
    </row>
    <row r="7" spans="1:5" x14ac:dyDescent="0.3">
      <c r="A7" s="1">
        <v>19</v>
      </c>
      <c r="B7" s="1">
        <v>22.6</v>
      </c>
      <c r="C7" s="1">
        <v>25.4</v>
      </c>
      <c r="D7" s="1">
        <v>48</v>
      </c>
      <c r="E7" s="1">
        <v>53.3</v>
      </c>
    </row>
    <row r="8" spans="1:5" x14ac:dyDescent="0.3">
      <c r="A8" s="1">
        <v>4</v>
      </c>
      <c r="B8" s="1">
        <v>27.4</v>
      </c>
      <c r="C8" s="1">
        <v>32</v>
      </c>
      <c r="D8" s="1">
        <v>59.4</v>
      </c>
      <c r="E8" s="1">
        <v>69.55</v>
      </c>
    </row>
    <row r="9" spans="1:5" x14ac:dyDescent="0.3">
      <c r="A9" s="1">
        <v>16</v>
      </c>
      <c r="B9" s="1">
        <v>25.4</v>
      </c>
      <c r="C9" s="1">
        <v>18.600000000000001</v>
      </c>
      <c r="D9" s="1">
        <v>44</v>
      </c>
      <c r="E9" s="1">
        <v>60.35</v>
      </c>
    </row>
    <row r="10" spans="1:5" x14ac:dyDescent="0.3">
      <c r="A10" s="1">
        <v>26</v>
      </c>
      <c r="B10" s="1">
        <v>21.8</v>
      </c>
      <c r="C10" s="1">
        <v>30.2</v>
      </c>
      <c r="D10" s="1">
        <v>52</v>
      </c>
      <c r="E10" s="1">
        <v>59.1</v>
      </c>
    </row>
    <row r="11" spans="1:5" x14ac:dyDescent="0.3">
      <c r="A11" s="1">
        <v>46</v>
      </c>
      <c r="B11" s="1">
        <v>29.2</v>
      </c>
      <c r="C11" s="1">
        <v>30</v>
      </c>
      <c r="D11" s="1">
        <v>59.2</v>
      </c>
      <c r="E11" s="1">
        <v>76.400000000000006</v>
      </c>
    </row>
    <row r="12" spans="1:5" x14ac:dyDescent="0.3">
      <c r="A12" s="1">
        <v>34</v>
      </c>
      <c r="B12" s="1">
        <v>23</v>
      </c>
      <c r="C12" s="1">
        <v>23.8</v>
      </c>
      <c r="D12" s="1">
        <v>46.8</v>
      </c>
      <c r="E12" s="1">
        <v>52.35</v>
      </c>
    </row>
    <row r="13" spans="1:5" x14ac:dyDescent="0.3">
      <c r="A13" s="1">
        <v>35</v>
      </c>
      <c r="B13" s="1">
        <v>25.2</v>
      </c>
      <c r="C13" s="1">
        <v>24</v>
      </c>
      <c r="D13" s="1">
        <v>49.2</v>
      </c>
      <c r="E13" s="1">
        <v>55.85</v>
      </c>
    </row>
    <row r="14" spans="1:5" x14ac:dyDescent="0.3">
      <c r="A14" s="1">
        <v>33</v>
      </c>
      <c r="B14" s="1">
        <v>28</v>
      </c>
      <c r="C14" s="1">
        <v>25.4</v>
      </c>
      <c r="D14" s="1">
        <v>53.4</v>
      </c>
      <c r="E14" s="1">
        <v>65.25</v>
      </c>
    </row>
    <row r="15" spans="1:5" x14ac:dyDescent="0.3">
      <c r="A15" s="1">
        <v>3</v>
      </c>
      <c r="B15" s="1">
        <v>21.4</v>
      </c>
      <c r="C15" s="1">
        <v>26.2</v>
      </c>
      <c r="D15" s="1">
        <v>47.599999999999994</v>
      </c>
      <c r="E15" s="1">
        <v>57.45</v>
      </c>
    </row>
    <row r="16" spans="1:5" x14ac:dyDescent="0.3">
      <c r="A16" s="1">
        <v>14</v>
      </c>
      <c r="B16" s="1">
        <v>24.2</v>
      </c>
      <c r="C16" s="1">
        <v>22.2</v>
      </c>
      <c r="D16" s="1">
        <v>46.4</v>
      </c>
      <c r="E16" s="1">
        <v>49.9</v>
      </c>
    </row>
    <row r="17" spans="1:5" x14ac:dyDescent="0.3">
      <c r="A17" s="1">
        <v>36</v>
      </c>
      <c r="B17" s="1">
        <v>21.6</v>
      </c>
      <c r="C17" s="1">
        <v>23</v>
      </c>
      <c r="D17" s="1">
        <v>44.6</v>
      </c>
      <c r="E17" s="1">
        <v>50.1</v>
      </c>
    </row>
    <row r="18" spans="1:5" x14ac:dyDescent="0.3">
      <c r="A18" s="1">
        <v>38</v>
      </c>
      <c r="B18" s="1">
        <v>27</v>
      </c>
      <c r="C18" s="1">
        <v>25.2</v>
      </c>
      <c r="D18" s="1">
        <v>52.2</v>
      </c>
      <c r="E18" s="1">
        <v>54.25</v>
      </c>
    </row>
    <row r="19" spans="1:5" x14ac:dyDescent="0.3">
      <c r="A19" s="1">
        <v>11</v>
      </c>
      <c r="B19" s="1">
        <v>25.4</v>
      </c>
      <c r="C19" s="1">
        <v>26</v>
      </c>
      <c r="D19" s="1">
        <v>51.4</v>
      </c>
      <c r="E19" s="1">
        <v>58.75</v>
      </c>
    </row>
    <row r="20" spans="1:5" x14ac:dyDescent="0.3">
      <c r="A20" s="1">
        <v>15</v>
      </c>
      <c r="B20" s="1">
        <v>28.4</v>
      </c>
      <c r="C20" s="1">
        <v>34.4</v>
      </c>
      <c r="D20" s="1">
        <v>62.8</v>
      </c>
      <c r="E20" s="1">
        <v>76.349999999999994</v>
      </c>
    </row>
    <row r="21" spans="1:5" x14ac:dyDescent="0.3">
      <c r="A21" s="1">
        <v>20</v>
      </c>
      <c r="B21" s="1">
        <v>26.2</v>
      </c>
      <c r="C21" s="1">
        <v>29</v>
      </c>
      <c r="D21" s="1">
        <v>55.2</v>
      </c>
      <c r="E21" s="1">
        <v>60.9</v>
      </c>
    </row>
    <row r="22" spans="1:5" x14ac:dyDescent="0.3">
      <c r="A22" s="1">
        <v>32</v>
      </c>
      <c r="B22" s="1">
        <v>33.4</v>
      </c>
      <c r="C22" s="1">
        <v>24</v>
      </c>
      <c r="D22" s="1">
        <v>57.4</v>
      </c>
      <c r="E22" s="1">
        <v>61</v>
      </c>
    </row>
    <row r="23" spans="1:5" x14ac:dyDescent="0.3">
      <c r="A23" s="1">
        <v>45</v>
      </c>
      <c r="B23" s="1">
        <v>26.4</v>
      </c>
      <c r="C23" s="1">
        <v>29.6</v>
      </c>
      <c r="D23" s="1">
        <v>56</v>
      </c>
      <c r="E23" s="1">
        <v>76.900000000000006</v>
      </c>
    </row>
    <row r="24" spans="1:5" x14ac:dyDescent="0.3">
      <c r="A24" s="1">
        <v>39</v>
      </c>
      <c r="B24" s="1">
        <v>34.6</v>
      </c>
      <c r="C24" s="1">
        <v>33.799999999999997</v>
      </c>
      <c r="D24" s="1">
        <v>68.400000000000006</v>
      </c>
      <c r="E24" s="1">
        <v>81.8</v>
      </c>
    </row>
    <row r="25" spans="1:5" x14ac:dyDescent="0.3">
      <c r="A25" s="1">
        <v>41</v>
      </c>
      <c r="B25" s="1">
        <v>11.8</v>
      </c>
      <c r="C25" s="1">
        <v>11</v>
      </c>
      <c r="D25" s="1">
        <v>22.8</v>
      </c>
      <c r="E25" s="1">
        <v>25.1</v>
      </c>
    </row>
    <row r="26" spans="1:5" x14ac:dyDescent="0.3">
      <c r="A26" s="1">
        <v>44</v>
      </c>
      <c r="B26" s="1">
        <v>19.2</v>
      </c>
      <c r="C26" s="1">
        <v>24</v>
      </c>
      <c r="D26" s="1">
        <v>43.2</v>
      </c>
      <c r="E26" s="1">
        <v>53.85</v>
      </c>
    </row>
    <row r="27" spans="1:5" x14ac:dyDescent="0.3">
      <c r="A27" s="1">
        <v>13</v>
      </c>
      <c r="B27" s="1">
        <v>23.4</v>
      </c>
      <c r="C27" s="1">
        <v>26</v>
      </c>
      <c r="D27" s="1">
        <v>49.4</v>
      </c>
      <c r="E27" s="1">
        <v>50.05</v>
      </c>
    </row>
    <row r="28" spans="1:5" x14ac:dyDescent="0.3">
      <c r="A28" s="1">
        <v>28</v>
      </c>
      <c r="B28" s="1">
        <v>31.2</v>
      </c>
      <c r="C28" s="1">
        <v>32.200000000000003</v>
      </c>
      <c r="D28" s="1">
        <v>63.400000000000006</v>
      </c>
      <c r="E28" s="1">
        <v>70</v>
      </c>
    </row>
    <row r="29" spans="1:5" x14ac:dyDescent="0.3">
      <c r="A29" s="1">
        <v>37</v>
      </c>
      <c r="B29" s="1">
        <v>29.6</v>
      </c>
      <c r="C29" s="1">
        <v>30.6</v>
      </c>
      <c r="D29" s="1">
        <v>60.2</v>
      </c>
      <c r="E29" s="1">
        <v>62.3</v>
      </c>
    </row>
    <row r="30" spans="1:5" x14ac:dyDescent="0.3">
      <c r="A30" s="1">
        <v>24</v>
      </c>
      <c r="B30" s="1">
        <v>26.6</v>
      </c>
      <c r="C30" s="1">
        <v>33.4</v>
      </c>
      <c r="D30" s="1">
        <v>60</v>
      </c>
      <c r="E30" s="1">
        <v>61.05</v>
      </c>
    </row>
    <row r="31" spans="1:5" x14ac:dyDescent="0.3">
      <c r="A31" s="1">
        <v>30</v>
      </c>
      <c r="B31" s="1">
        <v>37.799999999999997</v>
      </c>
      <c r="C31" s="1">
        <v>34.799999999999997</v>
      </c>
      <c r="D31" s="1">
        <v>72.599999999999994</v>
      </c>
      <c r="E31" s="1">
        <v>76.75</v>
      </c>
    </row>
    <row r="32" spans="1:5" x14ac:dyDescent="0.3">
      <c r="A32" s="1">
        <v>7</v>
      </c>
      <c r="B32" s="1">
        <v>26.6</v>
      </c>
      <c r="C32" s="1">
        <v>26</v>
      </c>
      <c r="D32" s="1">
        <v>52.6</v>
      </c>
      <c r="E32" s="1">
        <v>54.1</v>
      </c>
    </row>
    <row r="33" spans="1:5" x14ac:dyDescent="0.3">
      <c r="A33" s="1">
        <v>8</v>
      </c>
      <c r="B33" s="1">
        <v>26.2</v>
      </c>
      <c r="C33" s="1">
        <v>26.8</v>
      </c>
      <c r="D33" s="1">
        <v>53</v>
      </c>
      <c r="E33" s="1">
        <v>54.8</v>
      </c>
    </row>
    <row r="34" spans="1:5" x14ac:dyDescent="0.3">
      <c r="A34" s="1">
        <v>12</v>
      </c>
      <c r="B34" s="1">
        <v>35.6</v>
      </c>
      <c r="C34" s="1">
        <v>34.200000000000003</v>
      </c>
      <c r="D34" s="1">
        <v>69.800000000000011</v>
      </c>
      <c r="E34" s="1">
        <v>74.150000000000006</v>
      </c>
    </row>
    <row r="35" spans="1:5" x14ac:dyDescent="0.3">
      <c r="A35" s="1">
        <v>5</v>
      </c>
      <c r="B35" s="1">
        <v>32.799999999999997</v>
      </c>
      <c r="C35" s="1">
        <v>30</v>
      </c>
      <c r="D35" s="1">
        <v>62.8</v>
      </c>
      <c r="E35" s="1">
        <v>53.85</v>
      </c>
    </row>
    <row r="36" spans="1:5" x14ac:dyDescent="0.3">
      <c r="A36" s="1">
        <v>23</v>
      </c>
      <c r="B36" s="1">
        <v>29.2</v>
      </c>
      <c r="C36" s="1">
        <v>26.8</v>
      </c>
      <c r="D36" s="1">
        <v>56</v>
      </c>
      <c r="E36" s="1">
        <v>61.25</v>
      </c>
    </row>
    <row r="37" spans="1:5" x14ac:dyDescent="0.3">
      <c r="A37" s="1">
        <v>31</v>
      </c>
      <c r="B37" s="1">
        <v>40.200000000000003</v>
      </c>
      <c r="C37" s="1">
        <v>42.6</v>
      </c>
      <c r="D37" s="1">
        <v>82.800000000000011</v>
      </c>
      <c r="E37" s="1">
        <v>81.45</v>
      </c>
    </row>
    <row r="38" spans="1:5" x14ac:dyDescent="0.3">
      <c r="A38" s="1">
        <v>1</v>
      </c>
      <c r="B38" s="1">
        <v>35</v>
      </c>
      <c r="C38" s="1">
        <v>40.6</v>
      </c>
      <c r="D38" s="1">
        <v>75.599999999999994</v>
      </c>
      <c r="E38" s="1">
        <v>73.05</v>
      </c>
    </row>
    <row r="39" spans="1:5" x14ac:dyDescent="0.3">
      <c r="A39" s="1">
        <v>47</v>
      </c>
      <c r="B39" s="1">
        <v>30.8</v>
      </c>
      <c r="C39" s="1">
        <v>32.200000000000003</v>
      </c>
      <c r="D39" s="1">
        <v>63</v>
      </c>
      <c r="E39" s="1">
        <v>67.099999999999994</v>
      </c>
    </row>
    <row r="40" spans="1:5" x14ac:dyDescent="0.3">
      <c r="A40" s="1">
        <v>10</v>
      </c>
      <c r="B40" s="1">
        <v>26.8</v>
      </c>
      <c r="C40" s="1">
        <v>26.4</v>
      </c>
      <c r="D40" s="1">
        <v>53.2</v>
      </c>
      <c r="E40" s="1">
        <v>53.75</v>
      </c>
    </row>
    <row r="41" spans="1:5" x14ac:dyDescent="0.3">
      <c r="A41" s="1">
        <v>29</v>
      </c>
      <c r="B41" s="1">
        <v>28.4</v>
      </c>
      <c r="C41" s="1">
        <v>31.2</v>
      </c>
      <c r="D41" s="1">
        <v>59.599999999999994</v>
      </c>
      <c r="E41" s="1">
        <v>58.5</v>
      </c>
    </row>
    <row r="42" spans="1:5" x14ac:dyDescent="0.3">
      <c r="A42" s="1">
        <v>21</v>
      </c>
      <c r="B42" s="1">
        <v>22.6</v>
      </c>
      <c r="C42" s="1">
        <v>30.4</v>
      </c>
      <c r="D42" s="1">
        <v>53</v>
      </c>
      <c r="E42" s="1">
        <v>58.65</v>
      </c>
    </row>
    <row r="43" spans="1:5" x14ac:dyDescent="0.3">
      <c r="A43" s="1">
        <v>48</v>
      </c>
      <c r="B43" s="1">
        <v>39</v>
      </c>
      <c r="C43" s="1">
        <v>36.4</v>
      </c>
      <c r="D43" s="1">
        <v>75.400000000000006</v>
      </c>
      <c r="E43" s="1">
        <v>80.2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Overwinterng Data</vt:lpstr>
      <vt:lpstr>Pre-Overwintering Mites</vt:lpstr>
      <vt:lpstr>Colony Temperatures</vt:lpstr>
      <vt:lpstr>Tipping scale Side 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St. Clair</dc:creator>
  <cp:lastModifiedBy>Ashley St. Clair</cp:lastModifiedBy>
  <dcterms:created xsi:type="dcterms:W3CDTF">2022-02-19T14:37:10Z</dcterms:created>
  <dcterms:modified xsi:type="dcterms:W3CDTF">2022-03-18T20:21:22Z</dcterms:modified>
</cp:coreProperties>
</file>